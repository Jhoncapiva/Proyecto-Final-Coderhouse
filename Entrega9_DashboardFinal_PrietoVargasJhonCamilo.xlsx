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Ex1.xml" ContentType="application/vnd.ms-office.chartex+xml"/>
  <Override PartName="/xl/charts/style3.xml" ContentType="application/vnd.ms-office.chartstyle+xml"/>
  <Override PartName="/xl/charts/colors3.xml" ContentType="application/vnd.ms-office.chartcolorstyle+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drawings/drawing2.xml" ContentType="application/vnd.openxmlformats-officedocument.drawing+xml"/>
  <Override PartName="/xl/slicers/slicer2.xml" ContentType="application/vnd.ms-excel.slicer+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drawings/drawing3.xml" ContentType="application/vnd.openxmlformats-officedocument.drawing+xml"/>
  <Override PartName="/xl/tables/table6.xml" ContentType="application/vnd.openxmlformats-officedocument.spreadsheetml.table+xml"/>
  <Override PartName="/xl/charts/chart3.xml" ContentType="application/vnd.openxmlformats-officedocument.drawingml.chart+xml"/>
  <Override PartName="/xl/charts/style4.xml" ContentType="application/vnd.ms-office.chartstyle+xml"/>
  <Override PartName="/xl/charts/colors4.xml" ContentType="application/vnd.ms-office.chartcolorstyle+xml"/>
  <Override PartName="/xl/comments1.xml" ContentType="application/vnd.openxmlformats-officedocument.spreadsheetml.comments+xml"/>
  <Override PartName="/xl/threadedComments/threadedComment1.xml" ContentType="application/vnd.ms-excel.threadedcomments+xml"/>
  <Override PartName="/xl/drawings/drawing4.xml" ContentType="application/vnd.openxmlformats-officedocument.drawing+xml"/>
  <Override PartName="/xl/tables/table7.xml" ContentType="application/vnd.openxmlformats-officedocument.spreadsheetml.table+xml"/>
  <Override PartName="/xl/tables/table8.xml" ContentType="application/vnd.openxmlformats-officedocument.spreadsheetml.table+xml"/>
  <Override PartName="/xl/drawings/drawing5.xml" ContentType="application/vnd.openxmlformats-officedocument.drawing+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C:\Users\Kmilo Prieto\Documents\Analisis de datos CODERHOUSE\Preentregas - Trabajos\Pre- entrega 9\"/>
    </mc:Choice>
  </mc:AlternateContent>
  <xr:revisionPtr revIDLastSave="0" documentId="13_ncr:1_{FFC12648-FFD4-4389-84C3-D37745057FF3}" xr6:coauthVersionLast="47" xr6:coauthVersionMax="47" xr10:uidLastSave="{00000000-0000-0000-0000-000000000000}"/>
  <bookViews>
    <workbookView xWindow="-120" yWindow="-120" windowWidth="20730" windowHeight="11040" xr2:uid="{00000000-000D-0000-FFFF-FFFF00000000}"/>
  </bookViews>
  <sheets>
    <sheet name="Dashboard Final" sheetId="14" r:id="rId1"/>
    <sheet name="Hechos_Transacciones" sheetId="1" r:id="rId2"/>
    <sheet name="Dashboard" sheetId="13" r:id="rId3"/>
    <sheet name="Clientes" sheetId="3" r:id="rId4"/>
    <sheet name="Productos" sheetId="2" r:id="rId5"/>
    <sheet name="Calculos" sheetId="4" r:id="rId6"/>
    <sheet name="Previsión" sheetId="5" r:id="rId7"/>
    <sheet name="Buscador" sheetId="6" r:id="rId8"/>
    <sheet name="Justificación" sheetId="7" r:id="rId9"/>
    <sheet name="Reporte_Insights" sheetId="8" r:id="rId10"/>
    <sheet name="Matriz_Ventas" sheetId="9" r:id="rId11"/>
    <sheet name="Vencimientos" sheetId="10" r:id="rId12"/>
    <sheet name="Auditoria" sheetId="11" r:id="rId13"/>
    <sheet name="Refactor_LET" sheetId="12" r:id="rId14"/>
  </sheets>
  <definedNames>
    <definedName name="_xlchart.v1.0" hidden="1">Dashboard!$G$3:$G$7</definedName>
    <definedName name="_xlchart.v1.1" hidden="1">Dashboard!$H$3:$H$7</definedName>
    <definedName name="SegmentaciónDeDatos_Categoria">#N/A</definedName>
    <definedName name="SegmentaciónDeDatos_Fecha_Operacion">#N/A</definedName>
    <definedName name="SegmentaciónDeDatos_Region">#N/A</definedName>
  </definedNames>
  <calcPr calcId="191029"/>
  <pivotCaches>
    <pivotCache cacheId="0" r:id="rId15"/>
  </pivotCaches>
  <extLst>
    <ext xmlns:x14="http://schemas.microsoft.com/office/spreadsheetml/2009/9/main" uri="{BBE1A952-AA13-448e-AADC-164F8A28A991}">
      <x14:slicerCaches>
        <x14:slicerCache r:id="rId16"/>
        <x14:slicerCache r:id="rId17"/>
        <x14:slicerCache r:id="rId18"/>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uri="GoogleSheetsCustomDataVersion2">
      <go:sheetsCustomData xmlns:go="http://customooxmlschemas.google.com/" r:id="rId19" roundtripDataChecksum="JYC4fHODloTqZEfzS2wr+ZXUBd0m/q4jQkDA48mYJ4w="/>
    </ext>
  </extLst>
</workbook>
</file>

<file path=xl/calcChain.xml><?xml version="1.0" encoding="utf-8"?>
<calcChain xmlns="http://schemas.openxmlformats.org/spreadsheetml/2006/main">
  <c r="H3" i="13" l="1"/>
  <c r="H7" i="13" s="1"/>
  <c r="A5" i="12"/>
  <c r="A2" i="12"/>
  <c r="B3" i="11" a="1"/>
  <c r="B3" i="11" s="1"/>
  <c r="B7" i="11" s="1"/>
  <c r="B4" i="11" a="1"/>
  <c r="B4" i="11" s="1"/>
  <c r="B5" i="11" a="1"/>
  <c r="B5" i="11" s="1"/>
  <c r="B2" i="11" a="1"/>
  <c r="B2" i="11" s="1"/>
  <c r="C10" i="10"/>
  <c r="C2" i="10"/>
  <c r="C3" i="10"/>
  <c r="C4" i="10"/>
  <c r="C5" i="10"/>
  <c r="C6" i="10"/>
  <c r="C7" i="10"/>
  <c r="C8" i="10"/>
  <c r="C9" i="10"/>
  <c r="C11" i="10"/>
  <c r="C12" i="10"/>
  <c r="C13" i="10"/>
  <c r="C14" i="10"/>
  <c r="C15" i="10"/>
  <c r="C16" i="10"/>
  <c r="C17" i="10"/>
  <c r="C18" i="10"/>
  <c r="C19" i="10"/>
  <c r="C20" i="10"/>
  <c r="C21" i="10"/>
  <c r="C22" i="10"/>
  <c r="C23" i="10"/>
  <c r="C24" i="10"/>
  <c r="C25" i="10"/>
  <c r="C26" i="10"/>
  <c r="C27" i="10"/>
  <c r="C28" i="10"/>
  <c r="C29" i="10"/>
  <c r="C30" i="10"/>
  <c r="C31" i="10"/>
  <c r="C32" i="10"/>
  <c r="C33" i="10"/>
  <c r="C34" i="10"/>
  <c r="C35" i="10"/>
  <c r="C36" i="10"/>
  <c r="C37" i="10"/>
  <c r="C38" i="10"/>
  <c r="C39" i="10"/>
  <c r="C40" i="10"/>
  <c r="C41" i="10"/>
  <c r="C42" i="10"/>
  <c r="C43" i="10"/>
  <c r="C44" i="10"/>
  <c r="C45" i="10"/>
  <c r="C46" i="10"/>
  <c r="C47" i="10"/>
  <c r="C48" i="10"/>
  <c r="C49" i="10"/>
  <c r="C50" i="10"/>
  <c r="C51" i="10"/>
  <c r="C52" i="10"/>
  <c r="C53" i="10"/>
  <c r="C54" i="10"/>
  <c r="C55" i="10"/>
  <c r="C56" i="10"/>
  <c r="C57" i="10"/>
  <c r="C58" i="10"/>
  <c r="C59" i="10"/>
  <c r="C60" i="10"/>
  <c r="C61" i="10"/>
  <c r="C62" i="10"/>
  <c r="C63" i="10"/>
  <c r="C64" i="10"/>
  <c r="C65" i="10"/>
  <c r="C66" i="10"/>
  <c r="C67" i="10"/>
  <c r="C68" i="10"/>
  <c r="C69" i="10"/>
  <c r="C70" i="10"/>
  <c r="C71" i="10"/>
  <c r="C72" i="10"/>
  <c r="C73" i="10"/>
  <c r="C74" i="10"/>
  <c r="C75" i="10"/>
  <c r="C76" i="10"/>
  <c r="C77" i="10"/>
  <c r="C78" i="10"/>
  <c r="C79" i="10"/>
  <c r="C80" i="10"/>
  <c r="C81" i="10"/>
  <c r="C82" i="10"/>
  <c r="C83" i="10"/>
  <c r="C84" i="10"/>
  <c r="C85" i="10"/>
  <c r="C86" i="10"/>
  <c r="C87" i="10"/>
  <c r="C88" i="10"/>
  <c r="C89" i="10"/>
  <c r="C90" i="10"/>
  <c r="C91" i="10"/>
  <c r="C92" i="10"/>
  <c r="C93" i="10"/>
  <c r="C94" i="10"/>
  <c r="C95" i="10"/>
  <c r="C96" i="10"/>
  <c r="C97" i="10"/>
  <c r="C98" i="10"/>
  <c r="C99" i="10"/>
  <c r="C100" i="10"/>
  <c r="C101" i="10"/>
  <c r="B14" i="10"/>
  <c r="B15" i="10"/>
  <c r="B16" i="10"/>
  <c r="B17" i="10"/>
  <c r="B18" i="10"/>
  <c r="B19" i="10"/>
  <c r="B20" i="10"/>
  <c r="B21" i="10"/>
  <c r="B22" i="10"/>
  <c r="B23" i="10"/>
  <c r="B24" i="10"/>
  <c r="B25" i="10"/>
  <c r="B26" i="10"/>
  <c r="B27" i="10"/>
  <c r="B28" i="10"/>
  <c r="B29" i="10"/>
  <c r="B30" i="10"/>
  <c r="B31" i="10"/>
  <c r="B32" i="10"/>
  <c r="B33" i="10"/>
  <c r="B34" i="10"/>
  <c r="B35" i="10"/>
  <c r="B36" i="10"/>
  <c r="B37" i="10"/>
  <c r="B38" i="10"/>
  <c r="B39" i="10"/>
  <c r="B40" i="10"/>
  <c r="B41" i="10"/>
  <c r="B42" i="10"/>
  <c r="B43" i="10"/>
  <c r="B44" i="10"/>
  <c r="B45" i="10"/>
  <c r="B46" i="10"/>
  <c r="B47" i="10"/>
  <c r="B48" i="10"/>
  <c r="B49" i="10"/>
  <c r="B50" i="10"/>
  <c r="B51" i="10"/>
  <c r="B52" i="10"/>
  <c r="B53" i="10"/>
  <c r="B54" i="10"/>
  <c r="B55" i="10"/>
  <c r="B56" i="10"/>
  <c r="B57" i="10"/>
  <c r="B58" i="10"/>
  <c r="B59" i="10"/>
  <c r="B60" i="10"/>
  <c r="B61" i="10"/>
  <c r="B62" i="10"/>
  <c r="B63" i="10"/>
  <c r="B64" i="10"/>
  <c r="B65" i="10"/>
  <c r="B66" i="10"/>
  <c r="B67" i="10"/>
  <c r="B68" i="10"/>
  <c r="B69" i="10"/>
  <c r="B70" i="10"/>
  <c r="B71" i="10"/>
  <c r="B72" i="10"/>
  <c r="B73" i="10"/>
  <c r="B74" i="10"/>
  <c r="B75" i="10"/>
  <c r="B76" i="10"/>
  <c r="B77" i="10"/>
  <c r="B78" i="10"/>
  <c r="B79" i="10"/>
  <c r="B80" i="10"/>
  <c r="B81" i="10"/>
  <c r="B82" i="10"/>
  <c r="B83" i="10"/>
  <c r="B84" i="10"/>
  <c r="B85" i="10"/>
  <c r="B86" i="10"/>
  <c r="B87" i="10"/>
  <c r="B88" i="10"/>
  <c r="B89" i="10"/>
  <c r="B90" i="10"/>
  <c r="B91" i="10"/>
  <c r="B92" i="10"/>
  <c r="B93" i="10"/>
  <c r="B94" i="10"/>
  <c r="B95" i="10"/>
  <c r="B96" i="10"/>
  <c r="B97" i="10"/>
  <c r="B98" i="10"/>
  <c r="B99" i="10"/>
  <c r="B100" i="10"/>
  <c r="B101" i="10"/>
  <c r="B3" i="10"/>
  <c r="B4" i="10"/>
  <c r="B5" i="10"/>
  <c r="B6" i="10"/>
  <c r="B7" i="10"/>
  <c r="B8" i="10"/>
  <c r="B9" i="10"/>
  <c r="B10" i="10"/>
  <c r="B11" i="10"/>
  <c r="B12" i="10"/>
  <c r="B13" i="10"/>
  <c r="B2" i="10"/>
  <c r="H3" i="1"/>
  <c r="H2" i="1"/>
  <c r="H4" i="1"/>
  <c r="H5" i="1"/>
  <c r="H6" i="1"/>
  <c r="H7" i="1"/>
  <c r="H8" i="1"/>
  <c r="H9" i="1"/>
  <c r="H10" i="1"/>
  <c r="H11" i="1"/>
  <c r="H12" i="1"/>
  <c r="H13" i="1"/>
  <c r="H14" i="1"/>
  <c r="H15" i="1"/>
  <c r="H16" i="1"/>
  <c r="H17" i="1"/>
  <c r="H18" i="1"/>
  <c r="H19" i="1"/>
  <c r="H20" i="1"/>
  <c r="H21" i="1"/>
  <c r="H22" i="1"/>
  <c r="H23" i="1"/>
  <c r="H24" i="1"/>
  <c r="H25" i="1"/>
  <c r="H26" i="1"/>
  <c r="H27" i="1"/>
  <c r="H28" i="1"/>
  <c r="H29" i="1"/>
  <c r="H30" i="1"/>
  <c r="H31" i="1"/>
  <c r="H32" i="1"/>
  <c r="H33" i="1"/>
  <c r="H34" i="1"/>
  <c r="H35" i="1"/>
  <c r="H36" i="1"/>
  <c r="H37" i="1"/>
  <c r="H38" i="1"/>
  <c r="H39" i="1"/>
  <c r="H40" i="1"/>
  <c r="H41" i="1"/>
  <c r="H42" i="1"/>
  <c r="H43" i="1"/>
  <c r="H44" i="1"/>
  <c r="H45" i="1"/>
  <c r="H46" i="1"/>
  <c r="H47" i="1"/>
  <c r="H48" i="1"/>
  <c r="H49" i="1"/>
  <c r="H50" i="1"/>
  <c r="H51" i="1"/>
  <c r="H52" i="1"/>
  <c r="H53" i="1"/>
  <c r="H54" i="1"/>
  <c r="H55" i="1"/>
  <c r="H56" i="1"/>
  <c r="H57" i="1"/>
  <c r="H58" i="1"/>
  <c r="H59" i="1"/>
  <c r="H60" i="1"/>
  <c r="H61" i="1"/>
  <c r="H62" i="1"/>
  <c r="H63" i="1"/>
  <c r="H64" i="1"/>
  <c r="H65" i="1"/>
  <c r="H66" i="1"/>
  <c r="H67" i="1"/>
  <c r="H68" i="1"/>
  <c r="H69" i="1"/>
  <c r="H70" i="1"/>
  <c r="H71" i="1"/>
  <c r="H72" i="1"/>
  <c r="H73" i="1"/>
  <c r="H74" i="1"/>
  <c r="H75" i="1"/>
  <c r="H76" i="1"/>
  <c r="H77" i="1"/>
  <c r="H78" i="1"/>
  <c r="H79" i="1"/>
  <c r="H80" i="1"/>
  <c r="H81" i="1"/>
  <c r="H82" i="1"/>
  <c r="H83" i="1"/>
  <c r="H84" i="1"/>
  <c r="H85" i="1"/>
  <c r="H86" i="1"/>
  <c r="H87" i="1"/>
  <c r="H88" i="1"/>
  <c r="H89" i="1"/>
  <c r="H90" i="1"/>
  <c r="H91" i="1"/>
  <c r="H92" i="1"/>
  <c r="H93" i="1"/>
  <c r="H94" i="1"/>
  <c r="H95" i="1"/>
  <c r="H96" i="1"/>
  <c r="H97" i="1"/>
  <c r="H98" i="1"/>
  <c r="H99" i="1"/>
  <c r="H100" i="1"/>
  <c r="H101" i="1"/>
  <c r="G2" i="1"/>
  <c r="C2" i="9" s="1"/>
  <c r="G3" i="1"/>
  <c r="G4" i="1"/>
  <c r="G5" i="1"/>
  <c r="G6" i="1"/>
  <c r="G7" i="1"/>
  <c r="G8" i="1"/>
  <c r="G9" i="1"/>
  <c r="G10" i="1"/>
  <c r="G11" i="1"/>
  <c r="G12" i="1"/>
  <c r="G13" i="1"/>
  <c r="G14" i="1"/>
  <c r="G15" i="1"/>
  <c r="G16" i="1"/>
  <c r="G17" i="1"/>
  <c r="G18" i="1"/>
  <c r="G19" i="1"/>
  <c r="G20" i="1"/>
  <c r="G21" i="1"/>
  <c r="G22" i="1"/>
  <c r="G23" i="1"/>
  <c r="G24" i="1"/>
  <c r="G25" i="1"/>
  <c r="G26" i="1"/>
  <c r="G27" i="1"/>
  <c r="G28" i="1"/>
  <c r="G29" i="1"/>
  <c r="G30" i="1"/>
  <c r="G31" i="1"/>
  <c r="G32" i="1"/>
  <c r="G33" i="1"/>
  <c r="G34" i="1"/>
  <c r="G35" i="1"/>
  <c r="G36" i="1"/>
  <c r="G37" i="1"/>
  <c r="G38" i="1"/>
  <c r="G39" i="1"/>
  <c r="G40" i="1"/>
  <c r="G41" i="1"/>
  <c r="G42" i="1"/>
  <c r="G43" i="1"/>
  <c r="G44" i="1"/>
  <c r="G45" i="1"/>
  <c r="G46" i="1"/>
  <c r="G47" i="1"/>
  <c r="G48" i="1"/>
  <c r="G49" i="1"/>
  <c r="G50" i="1"/>
  <c r="G51" i="1"/>
  <c r="G52" i="1"/>
  <c r="G53" i="1"/>
  <c r="G54" i="1"/>
  <c r="G55" i="1"/>
  <c r="G56" i="1"/>
  <c r="G57" i="1"/>
  <c r="G58" i="1"/>
  <c r="G59" i="1"/>
  <c r="G60" i="1"/>
  <c r="G61" i="1"/>
  <c r="G62" i="1"/>
  <c r="G63" i="1"/>
  <c r="G64" i="1"/>
  <c r="G65" i="1"/>
  <c r="G66" i="1"/>
  <c r="G67" i="1"/>
  <c r="G68" i="1"/>
  <c r="G69" i="1"/>
  <c r="G70" i="1"/>
  <c r="G71" i="1"/>
  <c r="G72" i="1"/>
  <c r="G73" i="1"/>
  <c r="G74" i="1"/>
  <c r="G75" i="1"/>
  <c r="G76" i="1"/>
  <c r="G77" i="1"/>
  <c r="G78" i="1"/>
  <c r="G79" i="1"/>
  <c r="G80" i="1"/>
  <c r="G81" i="1"/>
  <c r="G82" i="1"/>
  <c r="G83" i="1"/>
  <c r="G84" i="1"/>
  <c r="G85" i="1"/>
  <c r="G86" i="1"/>
  <c r="G87" i="1"/>
  <c r="G88" i="1"/>
  <c r="G89" i="1"/>
  <c r="G90" i="1"/>
  <c r="G91" i="1"/>
  <c r="G92" i="1"/>
  <c r="G93" i="1"/>
  <c r="G94" i="1"/>
  <c r="G95" i="1"/>
  <c r="G96" i="1"/>
  <c r="G97" i="1"/>
  <c r="G98" i="1"/>
  <c r="G99" i="1"/>
  <c r="G100" i="1"/>
  <c r="G101" i="1"/>
  <c r="B3" i="6"/>
  <c r="B4" i="6"/>
  <c r="E14" i="5"/>
  <c r="F2" i="5"/>
  <c r="F3" i="5"/>
  <c r="F4" i="5"/>
  <c r="F5" i="5"/>
  <c r="F6" i="5"/>
  <c r="F7" i="5"/>
  <c r="F8" i="5"/>
  <c r="F9" i="5"/>
  <c r="F10" i="5"/>
  <c r="F11" i="5"/>
  <c r="F12" i="5"/>
  <c r="F13" i="5"/>
  <c r="F14" i="5"/>
  <c r="F15" i="5"/>
  <c r="F16" i="5"/>
  <c r="F17" i="5"/>
  <c r="E2" i="5"/>
  <c r="E3" i="5"/>
  <c r="E4" i="5"/>
  <c r="E5" i="5"/>
  <c r="E6" i="5"/>
  <c r="E7" i="5"/>
  <c r="E8" i="5"/>
  <c r="E9" i="5"/>
  <c r="E10" i="5"/>
  <c r="E11" i="5"/>
  <c r="E12" i="5"/>
  <c r="E13" i="5"/>
  <c r="E15" i="5"/>
  <c r="E16" i="5"/>
  <c r="E17" i="5"/>
  <c r="P5" i="4"/>
  <c r="I4" i="4"/>
  <c r="I5" i="4"/>
  <c r="I6" i="4"/>
  <c r="I7" i="4"/>
  <c r="I8" i="4"/>
  <c r="I9" i="4"/>
  <c r="I10" i="4"/>
  <c r="I11" i="4"/>
  <c r="I12" i="4"/>
  <c r="I13" i="4"/>
  <c r="I14" i="4"/>
  <c r="I15" i="4"/>
  <c r="I16" i="4"/>
  <c r="I17" i="4"/>
  <c r="I18" i="4"/>
  <c r="I19" i="4"/>
  <c r="I20" i="4"/>
  <c r="J20" i="4" s="1"/>
  <c r="I21" i="4"/>
  <c r="I22" i="4"/>
  <c r="I23" i="4"/>
  <c r="I24" i="4"/>
  <c r="I25" i="4"/>
  <c r="I26" i="4"/>
  <c r="I27" i="4"/>
  <c r="I28" i="4"/>
  <c r="I29" i="4"/>
  <c r="I30" i="4"/>
  <c r="I31" i="4"/>
  <c r="I32" i="4"/>
  <c r="I33" i="4"/>
  <c r="I34" i="4"/>
  <c r="I35" i="4"/>
  <c r="I36" i="4"/>
  <c r="J36" i="4" s="1"/>
  <c r="I37" i="4"/>
  <c r="I38" i="4"/>
  <c r="I39" i="4"/>
  <c r="I40" i="4"/>
  <c r="I41" i="4"/>
  <c r="I42" i="4"/>
  <c r="I43" i="4"/>
  <c r="I44" i="4"/>
  <c r="J44" i="4" s="1"/>
  <c r="I45" i="4"/>
  <c r="I46" i="4"/>
  <c r="I47" i="4"/>
  <c r="I48" i="4"/>
  <c r="I49" i="4"/>
  <c r="I50" i="4"/>
  <c r="I51" i="4"/>
  <c r="I52" i="4"/>
  <c r="I53" i="4"/>
  <c r="I54" i="4"/>
  <c r="I55" i="4"/>
  <c r="I56" i="4"/>
  <c r="J56" i="4" s="1"/>
  <c r="I57" i="4"/>
  <c r="I58" i="4"/>
  <c r="I59" i="4"/>
  <c r="I60" i="4"/>
  <c r="I61" i="4"/>
  <c r="I62" i="4"/>
  <c r="I63" i="4"/>
  <c r="I64" i="4"/>
  <c r="I65" i="4"/>
  <c r="I66" i="4"/>
  <c r="I67" i="4"/>
  <c r="I68" i="4"/>
  <c r="I69" i="4"/>
  <c r="I70" i="4"/>
  <c r="I71" i="4"/>
  <c r="I72" i="4"/>
  <c r="J72" i="4" s="1"/>
  <c r="I73" i="4"/>
  <c r="I74" i="4"/>
  <c r="I75" i="4"/>
  <c r="I76" i="4"/>
  <c r="I77" i="4"/>
  <c r="I78" i="4"/>
  <c r="I79" i="4"/>
  <c r="I80" i="4"/>
  <c r="I81" i="4"/>
  <c r="I82" i="4"/>
  <c r="I83" i="4"/>
  <c r="I84" i="4"/>
  <c r="J84" i="4" s="1"/>
  <c r="I85" i="4"/>
  <c r="I86" i="4"/>
  <c r="I87" i="4"/>
  <c r="I88" i="4"/>
  <c r="I89" i="4"/>
  <c r="I90" i="4"/>
  <c r="I91" i="4"/>
  <c r="I92" i="4"/>
  <c r="J92" i="4" s="1"/>
  <c r="I93" i="4"/>
  <c r="I94" i="4"/>
  <c r="I95" i="4"/>
  <c r="I96" i="4"/>
  <c r="J96" i="4" s="1"/>
  <c r="I97" i="4"/>
  <c r="I98" i="4"/>
  <c r="I99" i="4"/>
  <c r="I100" i="4"/>
  <c r="I101" i="4"/>
  <c r="I102" i="4"/>
  <c r="I103" i="4"/>
  <c r="C17" i="5"/>
  <c r="D17" i="5"/>
  <c r="C14" i="5"/>
  <c r="D14" i="5"/>
  <c r="C15" i="5"/>
  <c r="D15" i="5"/>
  <c r="C16" i="5"/>
  <c r="D16" i="5"/>
  <c r="E6" i="14"/>
  <c r="B6" i="14"/>
  <c r="H6" i="14"/>
  <c r="F4" i="9" l="1"/>
  <c r="F3" i="9"/>
  <c r="F2" i="9"/>
  <c r="B4" i="9"/>
  <c r="E4" i="9"/>
  <c r="E3" i="9"/>
  <c r="E2" i="9"/>
  <c r="B3" i="9"/>
  <c r="B9" i="9" s="1"/>
  <c r="D4" i="9"/>
  <c r="D3" i="9"/>
  <c r="D2" i="9"/>
  <c r="B2" i="9"/>
  <c r="C4" i="9"/>
  <c r="C3" i="9"/>
  <c r="Q5" i="4"/>
  <c r="P6" i="4"/>
  <c r="P7" i="4" s="1"/>
  <c r="Q4" i="4"/>
  <c r="J100" i="4"/>
  <c r="J88" i="4"/>
  <c r="J80" i="4"/>
  <c r="J68" i="4"/>
  <c r="J60" i="4"/>
  <c r="J48" i="4"/>
  <c r="J40" i="4"/>
  <c r="J28" i="4"/>
  <c r="J16" i="4"/>
  <c r="J4" i="4"/>
  <c r="J103" i="4"/>
  <c r="J99" i="4"/>
  <c r="J95" i="4"/>
  <c r="J91" i="4"/>
  <c r="J87" i="4"/>
  <c r="J83" i="4"/>
  <c r="J79" i="4"/>
  <c r="J75" i="4"/>
  <c r="J71" i="4"/>
  <c r="J67" i="4"/>
  <c r="J63" i="4"/>
  <c r="J59" i="4"/>
  <c r="J55" i="4"/>
  <c r="J51" i="4"/>
  <c r="J47" i="4"/>
  <c r="J43" i="4"/>
  <c r="J39" i="4"/>
  <c r="J35" i="4"/>
  <c r="J31" i="4"/>
  <c r="J27" i="4"/>
  <c r="J23" i="4"/>
  <c r="J19" i="4"/>
  <c r="J15" i="4"/>
  <c r="J11" i="4"/>
  <c r="J7" i="4"/>
  <c r="J76" i="4"/>
  <c r="J64" i="4"/>
  <c r="J52" i="4"/>
  <c r="J8" i="4"/>
  <c r="J102" i="4"/>
  <c r="J98" i="4"/>
  <c r="J94" i="4"/>
  <c r="J90" i="4"/>
  <c r="J86" i="4"/>
  <c r="J82" i="4"/>
  <c r="J78" i="4"/>
  <c r="J74" i="4"/>
  <c r="J70" i="4"/>
  <c r="J66" i="4"/>
  <c r="J62" i="4"/>
  <c r="J58" i="4"/>
  <c r="J54" i="4"/>
  <c r="J50" i="4"/>
  <c r="J46" i="4"/>
  <c r="J42" i="4"/>
  <c r="J38" i="4"/>
  <c r="J34" i="4"/>
  <c r="J30" i="4"/>
  <c r="J26" i="4"/>
  <c r="J22" i="4"/>
  <c r="J18" i="4"/>
  <c r="J14" i="4"/>
  <c r="J10" i="4"/>
  <c r="J6" i="4"/>
  <c r="J32" i="4"/>
  <c r="J24" i="4"/>
  <c r="J12" i="4"/>
  <c r="J101" i="4"/>
  <c r="J97" i="4"/>
  <c r="J93" i="4"/>
  <c r="J89" i="4"/>
  <c r="J85" i="4"/>
  <c r="J81" i="4"/>
  <c r="J77" i="4"/>
  <c r="J73" i="4"/>
  <c r="J69" i="4"/>
  <c r="J65" i="4"/>
  <c r="J61" i="4"/>
  <c r="J57" i="4"/>
  <c r="J53" i="4"/>
  <c r="J49" i="4"/>
  <c r="J45" i="4"/>
  <c r="J41" i="4"/>
  <c r="J37" i="4"/>
  <c r="J33" i="4"/>
  <c r="J29" i="4"/>
  <c r="J25" i="4"/>
  <c r="J21" i="4"/>
  <c r="J17" i="4"/>
  <c r="J13" i="4"/>
  <c r="J9" i="4"/>
  <c r="J5" i="4"/>
  <c r="Q6" i="4" l="1"/>
  <c r="P8" i="4"/>
  <c r="Q7" i="4"/>
  <c r="P9" i="4" l="1"/>
  <c r="Q8" i="4"/>
  <c r="P10" i="4" l="1"/>
  <c r="Q9" i="4"/>
  <c r="P11" i="4" l="1"/>
  <c r="Q10" i="4"/>
  <c r="P12" i="4" l="1"/>
  <c r="Q11" i="4"/>
  <c r="P13" i="4" l="1"/>
  <c r="Q12" i="4"/>
  <c r="P14" i="4" l="1"/>
  <c r="Q13" i="4"/>
  <c r="P15" i="4" l="1"/>
  <c r="Q15" i="4" s="1"/>
  <c r="Q14" i="4"/>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tc={D67072D8-22E6-4C27-AB63-024D3526DE79}</author>
  </authors>
  <commentList>
    <comment ref="A1" authorId="0" shapeId="0" xr:uid="{D67072D8-22E6-4C27-AB63-024D3526DE79}">
      <text>
        <t>[Comentario encadenado]
Su versión de Excel le permite leer este comentario encadenado; sin embargo, las ediciones que se apliquen se quitarán si el archivo se abre en una versión más reciente de Excel. Más información: https://go.microsoft.com/fwlink/?linkid=870924
Comentario:
    Contraseña de la hoja: CODERHOUSE</t>
      </text>
    </comment>
  </commentList>
</comments>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AB67B063-F0D7-4551-A801-49D00CB9848F}" keepAlive="1" name="Consulta - ventas_practica" description="Conexión a la consulta 'ventas_practica' en el libro." type="5" refreshedVersion="0" background="1">
    <dbPr connection="Provider=Microsoft.Mashup.OleDb.1;Data Source=$Workbook$;Location=ventas_practica;Extended Properties=&quot;&quot;" command="SELECT * FROM [ventas_practica]"/>
  </connection>
</connection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<sst xmlns="http://schemas.openxmlformats.org/spreadsheetml/2006/main" count="1033" uniqueCount="400">
  <si>
    <t>Fecha_Operacion</t>
  </si>
  <si>
    <t>ID_Transaccion</t>
  </si>
  <si>
    <t>SKU_Codigo_Ref</t>
  </si>
  <si>
    <t>ID_Cliente_Ref</t>
  </si>
  <si>
    <t>Cantidad</t>
  </si>
  <si>
    <t>Precio_Unitario</t>
  </si>
  <si>
    <t>TX-100000</t>
  </si>
  <si>
    <t>TECN-01</t>
  </si>
  <si>
    <t>CLI-001</t>
  </si>
  <si>
    <t>TX-100001</t>
  </si>
  <si>
    <t>ELEC-02</t>
  </si>
  <si>
    <t>CLI-003</t>
  </si>
  <si>
    <t>TX-100002</t>
  </si>
  <si>
    <t>CLI-005</t>
  </si>
  <si>
    <t>TX-100003</t>
  </si>
  <si>
    <t>CLI-004</t>
  </si>
  <si>
    <t>TX-100004</t>
  </si>
  <si>
    <t>TX-100005</t>
  </si>
  <si>
    <t>LBLA-02</t>
  </si>
  <si>
    <t>TX-100006</t>
  </si>
  <si>
    <t>TECN-02</t>
  </si>
  <si>
    <t>CLI-002</t>
  </si>
  <si>
    <t>TX-100007</t>
  </si>
  <si>
    <t>HOGA-01</t>
  </si>
  <si>
    <t>TX-100008</t>
  </si>
  <si>
    <t>TX-100009</t>
  </si>
  <si>
    <t>TX-100010</t>
  </si>
  <si>
    <t>TX-100011</t>
  </si>
  <si>
    <t>ELEC-01</t>
  </si>
  <si>
    <t>TX-100012</t>
  </si>
  <si>
    <t>TX-100013</t>
  </si>
  <si>
    <t>TX-100014</t>
  </si>
  <si>
    <t>TX-100015</t>
  </si>
  <si>
    <t>TX-100016</t>
  </si>
  <si>
    <t>TX-100017</t>
  </si>
  <si>
    <t>TX-100018</t>
  </si>
  <si>
    <t>TX-100019</t>
  </si>
  <si>
    <t>LBLA-01</t>
  </si>
  <si>
    <t>TX-100020</t>
  </si>
  <si>
    <t>TX-100021</t>
  </si>
  <si>
    <t>TX-100022</t>
  </si>
  <si>
    <t>TX-100023</t>
  </si>
  <si>
    <t>TX-100024</t>
  </si>
  <si>
    <t>TX-100025</t>
  </si>
  <si>
    <t>TX-100026</t>
  </si>
  <si>
    <t>TX-100027</t>
  </si>
  <si>
    <t>TX-100028</t>
  </si>
  <si>
    <t>TX-100029</t>
  </si>
  <si>
    <t>TX-100030</t>
  </si>
  <si>
    <t>TX-100031</t>
  </si>
  <si>
    <t>TX-100032</t>
  </si>
  <si>
    <t>TX-100033</t>
  </si>
  <si>
    <t>TX-100034</t>
  </si>
  <si>
    <t>TX-100035</t>
  </si>
  <si>
    <t>TX-100036</t>
  </si>
  <si>
    <t>TX-100037</t>
  </si>
  <si>
    <t>TX-100038</t>
  </si>
  <si>
    <t>TX-100039</t>
  </si>
  <si>
    <t>TX-100040</t>
  </si>
  <si>
    <t>TX-100041</t>
  </si>
  <si>
    <t>TX-100042</t>
  </si>
  <si>
    <t>TX-100043</t>
  </si>
  <si>
    <t>TX-100044</t>
  </si>
  <si>
    <t>TX-100045</t>
  </si>
  <si>
    <t>HOGA-02</t>
  </si>
  <si>
    <t>TX-100046</t>
  </si>
  <si>
    <t>TX-100047</t>
  </si>
  <si>
    <t>TX-100048</t>
  </si>
  <si>
    <t>TX-100049</t>
  </si>
  <si>
    <t>TX-100050</t>
  </si>
  <si>
    <t>TX-100051</t>
  </si>
  <si>
    <t>TX-100052</t>
  </si>
  <si>
    <t>TX-100053</t>
  </si>
  <si>
    <t>TX-100054</t>
  </si>
  <si>
    <t>TX-100055</t>
  </si>
  <si>
    <t>TX-100056</t>
  </si>
  <si>
    <t>TX-100057</t>
  </si>
  <si>
    <t>TX-100058</t>
  </si>
  <si>
    <t>TX-100059</t>
  </si>
  <si>
    <t>TX-100060</t>
  </si>
  <si>
    <t>TX-100061</t>
  </si>
  <si>
    <t>TX-100062</t>
  </si>
  <si>
    <t>TX-100063</t>
  </si>
  <si>
    <t>TX-100064</t>
  </si>
  <si>
    <t>TX-100065</t>
  </si>
  <si>
    <t>TX-100066</t>
  </si>
  <si>
    <t>TX-100067</t>
  </si>
  <si>
    <t>TX-100068</t>
  </si>
  <si>
    <t>TX-100069</t>
  </si>
  <si>
    <t>TX-100070</t>
  </si>
  <si>
    <t>TX-100071</t>
  </si>
  <si>
    <t>TX-100072</t>
  </si>
  <si>
    <t>TX-100073</t>
  </si>
  <si>
    <t>TX-100074</t>
  </si>
  <si>
    <t>TX-100075</t>
  </si>
  <si>
    <t>TX-100076</t>
  </si>
  <si>
    <t>TX-100077</t>
  </si>
  <si>
    <t>TX-100078</t>
  </si>
  <si>
    <t>TX-100079</t>
  </si>
  <si>
    <t>TX-100080</t>
  </si>
  <si>
    <t>TX-100081</t>
  </si>
  <si>
    <t>TX-100082</t>
  </si>
  <si>
    <t>TX-100083</t>
  </si>
  <si>
    <t>TX-100084</t>
  </si>
  <si>
    <t>TX-100085</t>
  </si>
  <si>
    <t>TX-100086</t>
  </si>
  <si>
    <t>TX-100087</t>
  </si>
  <si>
    <t>TX-100088</t>
  </si>
  <si>
    <t>TX-100089</t>
  </si>
  <si>
    <t>TX-100090</t>
  </si>
  <si>
    <t>TX-100091</t>
  </si>
  <si>
    <t>TX-100092</t>
  </si>
  <si>
    <t>TX-100093</t>
  </si>
  <si>
    <t>TX-100094</t>
  </si>
  <si>
    <t>TX-100095</t>
  </si>
  <si>
    <t>TX-100096</t>
  </si>
  <si>
    <t>TX-100097</t>
  </si>
  <si>
    <t>TX-100098</t>
  </si>
  <si>
    <t>TX-100099</t>
  </si>
  <si>
    <t>SKU_Clave</t>
  </si>
  <si>
    <t>Producto_Descripcion</t>
  </si>
  <si>
    <t>Categoria_Agrupador</t>
  </si>
  <si>
    <t>TV Smart 55</t>
  </si>
  <si>
    <t>Microondas 20L</t>
  </si>
  <si>
    <t>Lavarropas Automático</t>
  </si>
  <si>
    <t>Heladera No Frost</t>
  </si>
  <si>
    <t>Celular Smartphone</t>
  </si>
  <si>
    <t>Notebook Pro</t>
  </si>
  <si>
    <t>Cafetera Express</t>
  </si>
  <si>
    <t>Hogar</t>
  </si>
  <si>
    <t>Aspiradora Robot</t>
  </si>
  <si>
    <t>ID_Cliente_Clave</t>
  </si>
  <si>
    <t>Nombre_RazonSocial</t>
  </si>
  <si>
    <t>Region_Geografica</t>
  </si>
  <si>
    <t>Juan Pérez</t>
  </si>
  <si>
    <t>María Rodríguez</t>
  </si>
  <si>
    <t>Carlos Gómez</t>
  </si>
  <si>
    <t>Ana Martínez</t>
  </si>
  <si>
    <t>Luis Fernández</t>
  </si>
  <si>
    <t>Electrónica</t>
  </si>
  <si>
    <t>Linea blanca</t>
  </si>
  <si>
    <t>CLI-006</t>
  </si>
  <si>
    <t>CLI-007</t>
  </si>
  <si>
    <t>CLI-008</t>
  </si>
  <si>
    <t>CLI-009</t>
  </si>
  <si>
    <t>CLI-010</t>
  </si>
  <si>
    <t>CLI-011</t>
  </si>
  <si>
    <t>CLI-012</t>
  </si>
  <si>
    <t>CLI-013</t>
  </si>
  <si>
    <t>CLI-014</t>
  </si>
  <si>
    <t>CLI-015</t>
  </si>
  <si>
    <t>CLI-016</t>
  </si>
  <si>
    <t>CLI-017</t>
  </si>
  <si>
    <t>CLI-018</t>
  </si>
  <si>
    <t>CLI-019</t>
  </si>
  <si>
    <t>CLI-020</t>
  </si>
  <si>
    <t>CLI-021</t>
  </si>
  <si>
    <t>CLI-022</t>
  </si>
  <si>
    <t>CLI-023</t>
  </si>
  <si>
    <t>CLI-024</t>
  </si>
  <si>
    <t>CLI-025</t>
  </si>
  <si>
    <t>CLI-026</t>
  </si>
  <si>
    <t>CLI-027</t>
  </si>
  <si>
    <t>CLI-028</t>
  </si>
  <si>
    <t>CLI-029</t>
  </si>
  <si>
    <t>CLI-030</t>
  </si>
  <si>
    <t>CLI-031</t>
  </si>
  <si>
    <t>CLI-032</t>
  </si>
  <si>
    <t>CLI-033</t>
  </si>
  <si>
    <t>CLI-034</t>
  </si>
  <si>
    <t>CLI-035</t>
  </si>
  <si>
    <t>CLI-036</t>
  </si>
  <si>
    <t>CLI-037</t>
  </si>
  <si>
    <t>CLI-038</t>
  </si>
  <si>
    <t>CLI-039</t>
  </si>
  <si>
    <t>CLI-040</t>
  </si>
  <si>
    <t>CLI-041</t>
  </si>
  <si>
    <t>CLI-042</t>
  </si>
  <si>
    <t>CLI-043</t>
  </si>
  <si>
    <t>CLI-044</t>
  </si>
  <si>
    <t>CLI-045</t>
  </si>
  <si>
    <t>CLI-046</t>
  </si>
  <si>
    <t>CLI-047</t>
  </si>
  <si>
    <t>CLI-048</t>
  </si>
  <si>
    <t>CLI-049</t>
  </si>
  <si>
    <t>CLI-050</t>
  </si>
  <si>
    <t>CLI-051</t>
  </si>
  <si>
    <t>CLI-052</t>
  </si>
  <si>
    <t>CLI-053</t>
  </si>
  <si>
    <t>CLI-054</t>
  </si>
  <si>
    <t>CLI-055</t>
  </si>
  <si>
    <t>CLI-056</t>
  </si>
  <si>
    <t>CLI-057</t>
  </si>
  <si>
    <t>CLI-058</t>
  </si>
  <si>
    <t>CLI-059</t>
  </si>
  <si>
    <t>CLI-060</t>
  </si>
  <si>
    <t>CLI-061</t>
  </si>
  <si>
    <t>CLI-062</t>
  </si>
  <si>
    <t>CLI-063</t>
  </si>
  <si>
    <t>CLI-064</t>
  </si>
  <si>
    <t>CLI-065</t>
  </si>
  <si>
    <t>CLI-066</t>
  </si>
  <si>
    <t>CLI-067</t>
  </si>
  <si>
    <t>CLI-068</t>
  </si>
  <si>
    <t>CLI-069</t>
  </si>
  <si>
    <t>CLI-070</t>
  </si>
  <si>
    <t>CLI-071</t>
  </si>
  <si>
    <t>CLI-072</t>
  </si>
  <si>
    <t>CLI-073</t>
  </si>
  <si>
    <t>CLI-074</t>
  </si>
  <si>
    <t>CLI-075</t>
  </si>
  <si>
    <t>CLI-076</t>
  </si>
  <si>
    <t>CLI-077</t>
  </si>
  <si>
    <t>CLI-078</t>
  </si>
  <si>
    <t>CLI-079</t>
  </si>
  <si>
    <t>CLI-080</t>
  </si>
  <si>
    <t>CLI-081</t>
  </si>
  <si>
    <t>CLI-082</t>
  </si>
  <si>
    <t>CLI-083</t>
  </si>
  <si>
    <t>CLI-084</t>
  </si>
  <si>
    <t>CLI-085</t>
  </si>
  <si>
    <t>CLI-086</t>
  </si>
  <si>
    <t>CLI-087</t>
  </si>
  <si>
    <t>CLI-088</t>
  </si>
  <si>
    <t>CLI-089</t>
  </si>
  <si>
    <t>CLI-090</t>
  </si>
  <si>
    <t>CLI-091</t>
  </si>
  <si>
    <t>CLI-092</t>
  </si>
  <si>
    <t>CLI-093</t>
  </si>
  <si>
    <t>CLI-094</t>
  </si>
  <si>
    <t>CLI-095</t>
  </si>
  <si>
    <t>CLI-096</t>
  </si>
  <si>
    <t>CLI-097</t>
  </si>
  <si>
    <t>CLI-098</t>
  </si>
  <si>
    <t>CLI-099</t>
  </si>
  <si>
    <t>CLI-100</t>
  </si>
  <si>
    <t>Bogotá</t>
  </si>
  <si>
    <t>Medellín</t>
  </si>
  <si>
    <t>Cali</t>
  </si>
  <si>
    <t>Andrés Ramírez</t>
  </si>
  <si>
    <t>Barranquilla</t>
  </si>
  <si>
    <t>Sofía Hernández</t>
  </si>
  <si>
    <t>Diego Torres</t>
  </si>
  <si>
    <t>Laura Castro</t>
  </si>
  <si>
    <t>Miguel Rojas</t>
  </si>
  <si>
    <t>Natalia Morales</t>
  </si>
  <si>
    <t>Jorge Vargas</t>
  </si>
  <si>
    <t>Paula Herrera</t>
  </si>
  <si>
    <t>Camilo Ortiz</t>
  </si>
  <si>
    <t>Valentina Sánchez</t>
  </si>
  <si>
    <t>Felipe Gómez</t>
  </si>
  <si>
    <t>Daniela Ruiz</t>
  </si>
  <si>
    <t>Sebastián Muñoz</t>
  </si>
  <si>
    <t>Isabella López</t>
  </si>
  <si>
    <t>David Castaño</t>
  </si>
  <si>
    <t>Sara Jiménez</t>
  </si>
  <si>
    <t>Santiago Romero</t>
  </si>
  <si>
    <t>Luisa Medina</t>
  </si>
  <si>
    <t>Mateo Álvarez</t>
  </si>
  <si>
    <t>Carolina Arias</t>
  </si>
  <si>
    <t>Kevin Restrepo</t>
  </si>
  <si>
    <t>Juliana Salazar</t>
  </si>
  <si>
    <t>Cristian Pineda</t>
  </si>
  <si>
    <t>Tatiana Cardona</t>
  </si>
  <si>
    <t>Nicolás Vélez</t>
  </si>
  <si>
    <t>Diana Ospina</t>
  </si>
  <si>
    <t>Esteban Parra</t>
  </si>
  <si>
    <t>Angélica Franco</t>
  </si>
  <si>
    <t>Juan David Gil</t>
  </si>
  <si>
    <t>Mariana Montoya</t>
  </si>
  <si>
    <t>Alejandro Cárdenas</t>
  </si>
  <si>
    <t>Karen Gallego</t>
  </si>
  <si>
    <t>Jhon Jaramillo</t>
  </si>
  <si>
    <t>Leidy Valencia</t>
  </si>
  <si>
    <t>Óscar Henao</t>
  </si>
  <si>
    <t>Yulieth Escobar</t>
  </si>
  <si>
    <t>Brayan Quintero</t>
  </si>
  <si>
    <t>Paola Correa</t>
  </si>
  <si>
    <t>Kevin Cardona</t>
  </si>
  <si>
    <t>Lorena Betancur</t>
  </si>
  <si>
    <t>Jonathan Zapata</t>
  </si>
  <si>
    <t>Jessica Arboleda</t>
  </si>
  <si>
    <t>Mauricio Valencia</t>
  </si>
  <si>
    <t>Claudia Serna</t>
  </si>
  <si>
    <t>Ricardo Duque</t>
  </si>
  <si>
    <t>Viviana Hincapié</t>
  </si>
  <si>
    <t>Mauricio León</t>
  </si>
  <si>
    <t>Diana Cifuentes</t>
  </si>
  <si>
    <t>Andrés Salinas</t>
  </si>
  <si>
    <t>María Fernanda Gil</t>
  </si>
  <si>
    <t>José Manuel Rincón</t>
  </si>
  <si>
    <t>Sandra Cárdenas</t>
  </si>
  <si>
    <t>Wilson Suárez</t>
  </si>
  <si>
    <t>Liliana Pardo</t>
  </si>
  <si>
    <t>Henry Lozano</t>
  </si>
  <si>
    <t>Mónica Beltrán</t>
  </si>
  <si>
    <t>Álvaro Bernal</t>
  </si>
  <si>
    <t>Gloria Fuentes</t>
  </si>
  <si>
    <t>Víctor Niño</t>
  </si>
  <si>
    <t>Ángela Duarte</t>
  </si>
  <si>
    <t>Rubén Sierra</t>
  </si>
  <si>
    <t>Patricia Molina</t>
  </si>
  <si>
    <t>Mauricio Cárdenas</t>
  </si>
  <si>
    <t>Jenny Forero</t>
  </si>
  <si>
    <t>Fernando Rojas</t>
  </si>
  <si>
    <t>Sandra Rincón</t>
  </si>
  <si>
    <t>Edwin Solano</t>
  </si>
  <si>
    <t>Yenny Muñoz</t>
  </si>
  <si>
    <t>Javier Molina</t>
  </si>
  <si>
    <t>Marcela Pérez</t>
  </si>
  <si>
    <t>Óscar Gutiérrez</t>
  </si>
  <si>
    <t>Andrea Buitrago</t>
  </si>
  <si>
    <t>Cristian Benavides</t>
  </si>
  <si>
    <t>Natalia Quintero</t>
  </si>
  <si>
    <t>Iván Camacho</t>
  </si>
  <si>
    <t>Karen Suárez</t>
  </si>
  <si>
    <t>Eduardo Prieto</t>
  </si>
  <si>
    <t>Martha Pinzón</t>
  </si>
  <si>
    <t>Julián Perdomo</t>
  </si>
  <si>
    <t>Adriana Cely</t>
  </si>
  <si>
    <t>Germán Téllez</t>
  </si>
  <si>
    <t>Silvia Romero</t>
  </si>
  <si>
    <t>César Peña</t>
  </si>
  <si>
    <t>Luisa Trujillo</t>
  </si>
  <si>
    <t>Harold Moreno</t>
  </si>
  <si>
    <t>Dayana Cruz</t>
  </si>
  <si>
    <t>Álvaro Montoya</t>
  </si>
  <si>
    <t>Erika Rojas</t>
  </si>
  <si>
    <t>Mauricio Díaz</t>
  </si>
  <si>
    <t>Catalina Patiño</t>
  </si>
  <si>
    <t>Jaime Correa</t>
  </si>
  <si>
    <t>Melissa Córdoba</t>
  </si>
  <si>
    <t>Jairo Benítez</t>
  </si>
  <si>
    <t>Nubia Ramírez</t>
  </si>
  <si>
    <t>Óscar Velasco</t>
  </si>
  <si>
    <t>Total</t>
  </si>
  <si>
    <t>Contexto: Tengo una tabla de ventas en Excel con las columnas Cantidad (G) y Total (I) por cada transacción. Objetivo: Necesito una fórmula que calcule una comisión escalonada: 6% si el Total es mayor a 3.000.000 y la Cantidad es mayor o igual a 5; 4% si el Total es mayor a 1.000.000; y 2% en cualquier otro caso. Ejemplo: Si Total=3.500.000 y Cantidad=6, la comisión debería ser 210.000 (6%). Si Total=1.500.000 y Cantidad=2, la comisión debería ser 60.000 (4%). Formato: Damee solo la fórmula de Excel en español, usando SI, Y, anidados, sin explicaciones adicionales.</t>
  </si>
  <si>
    <t>Prompt para ChatGPT</t>
  </si>
  <si>
    <t>Formula</t>
  </si>
  <si>
    <t>"=SI(Y(I4&gt;3000000;G4&gt;=5);I4*0,06;SI(I4&gt;1000000;I4*0,04;I4*0,02))"</t>
  </si>
  <si>
    <t>Comisión</t>
  </si>
  <si>
    <t>Mes</t>
  </si>
  <si>
    <t>Total_Mensual</t>
  </si>
  <si>
    <t>Previsión(Total_Mensual)</t>
  </si>
  <si>
    <t>Intervalo de confianza(Total_Mensual)</t>
  </si>
  <si>
    <t>Límite_Inferior</t>
  </si>
  <si>
    <t>Límite_Superior</t>
  </si>
  <si>
    <t>Nombre:</t>
  </si>
  <si>
    <t>Región:</t>
  </si>
  <si>
    <t>ID_Cliente</t>
  </si>
  <si>
    <r>
      <rPr>
        <b/>
        <sz val="12"/>
        <color theme="1"/>
        <rFont val="Calibri"/>
        <family val="2"/>
        <scheme val="minor"/>
      </rPr>
      <t>Justificación de decisiones</t>
    </r>
    <r>
      <rPr>
        <sz val="12"/>
        <color theme="1"/>
        <rFont val="Calibri"/>
        <family val="2"/>
        <scheme val="minor"/>
      </rPr>
      <t xml:space="preserve">
Escogí una comisión escalonada porque refleja mejor cómo funciona un incentivo de ventas real: si el Total de la venta supera $3.000.000 y la Cantidad es de 5 unidades o más, la comisión sube a 6%, ya que premia tanto el monto como el volumen de la venta. Si solo supera $1.000.000, la comisión es del 4%, y en cualquier otro caso queda en 2%. Esto motiva a vender más y en mayor cantidad, no solo montos altos aislados.
Para la previsión, usé el histórico mensual de ventas de 2026 (12 meses) y proyecté 4 periodos hacia adelante (enero a abril de 2027), un horizonte razonable dado que solo se cuenta con un año completo de datos. La hoja de previsión de Excel genera las fórmulas de forma dinámica (con PRONOSTICO.ETS), vinculadas directamente a la tabla de origen en Calculos, por lo que se actualiza automáticamente si cambian los datos históricos.
El buscador resuelve la necesidad de ubicar rápido la información de un cliente sin tener que revisar manualmente la tabla completa: con el ID_Cliente correspondiente, la función BUSCARX permite obtener de una vez el nombre y la región asociados a ese cliente.</t>
    </r>
  </si>
  <si>
    <t>Cartagena</t>
  </si>
  <si>
    <t>Region</t>
  </si>
  <si>
    <t>Categoria / Region</t>
  </si>
  <si>
    <t>Categoria</t>
  </si>
  <si>
    <t>Categoria buscada:</t>
  </si>
  <si>
    <t>Region buscada:</t>
  </si>
  <si>
    <t>Resultado:</t>
  </si>
  <si>
    <t xml:space="preserve"> </t>
  </si>
  <si>
    <t>Feriados_2026</t>
  </si>
  <si>
    <t>Fecha_Vencimiento</t>
  </si>
  <si>
    <t>Total_Ventas</t>
  </si>
  <si>
    <t>Enero</t>
  </si>
  <si>
    <t>Febrero</t>
  </si>
  <si>
    <t>Marzo</t>
  </si>
  <si>
    <t>Abril</t>
  </si>
  <si>
    <t>Total_Anual_Parcial</t>
  </si>
  <si>
    <t>Num_Mes</t>
  </si>
  <si>
    <t>Formula Original</t>
  </si>
  <si>
    <t>Formula con LET</t>
  </si>
  <si>
    <t>La fórmula original repite la referencia I4 cuatro veces, dificultando su mantenimiento si cambia la columna del Total. La versión con LET nombra "total" y "cantidad" una sola vez, mejorando la legibilidad y trazabilidad sin alterar el resultado numérico, ambas fórmulas devuelven el mismo valor ($112.498) para el mismo cliente.</t>
  </si>
  <si>
    <t>Etiquetas de fila</t>
  </si>
  <si>
    <t>Total general</t>
  </si>
  <si>
    <t>Suma de Precio_Unitario</t>
  </si>
  <si>
    <t>ene</t>
  </si>
  <si>
    <t>feb</t>
  </si>
  <si>
    <t>mar</t>
  </si>
  <si>
    <t>may</t>
  </si>
  <si>
    <t>jul</t>
  </si>
  <si>
    <t>ago</t>
  </si>
  <si>
    <t>sep</t>
  </si>
  <si>
    <t>oct</t>
  </si>
  <si>
    <t>nov</t>
  </si>
  <si>
    <t>dic</t>
  </si>
  <si>
    <t>REPORTE EJECUTIVO DE VENTAS Y MÁRGENES</t>
  </si>
  <si>
    <t>Dashboard interactivo de monitoreo comercial y desempeño regional</t>
  </si>
  <si>
    <t>VENTAS TOTALES</t>
  </si>
  <si>
    <t>TICKET PROMEDIO</t>
  </si>
  <si>
    <t>CUMPLIMIENTO DE META</t>
  </si>
  <si>
    <t>Ventas Brutas</t>
  </si>
  <si>
    <t>Descuentos Comercial</t>
  </si>
  <si>
    <t>Costo de Ventas</t>
  </si>
  <si>
    <t>Gastos Logísticos</t>
  </si>
  <si>
    <t>Margen Neto Final</t>
  </si>
  <si>
    <t>REGISTRO DE AUDITORÍA Y PROMPTS DE IA (ABOGADO DEL DIABLO)</t>
  </si>
  <si>
    <t>1. PROMPT DE AUDITORÍA DE INSIGHTS:</t>
  </si>
  <si>
    <t>Actúa como un director financiero (CFO) y analista 'abogado del diablo'. Analiza mis conclusiones de ventas: Electrónica representa el 70% de la facturación y Bogotá/Medellín concentran el 63% de los ingresos. ¿Qué sesgos, riesgos de concentración o variables omitidas (ej. costos logísticos, devoluciones, margen neto real) podrían invalidar la idea de que Electrónica es la categoría más rentable?</t>
  </si>
  <si>
    <t>2. RESPUESTA Y REFLEXIÓN COGNITIVA DE LA IA:</t>
  </si>
  <si>
    <t>El análisis identificó un sesgo de volumen vs. rentabilidad. Concentrar el 70% en Electrónica expone al negocio a un alto costo de inventario y obsolescencia. Además, el margen neto real de Electrónica se ve afectado por costos de envío elevados frente a Línea Blanca. Basado en esto, se incorporó el gráfico de Cascada para auditar el margen neto real y no solo la venta bruta.</t>
  </si>
  <si>
    <t>Promedio de Precio_Unitario2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</si>
</sst>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44" formatCode="_-&quot;$&quot;\ * #,##0.00_-;\-&quot;$&quot;\ * #,##0.00_-;_-&quot;$&quot;\ * &quot;-&quot;??_-;_-@_-"/>
    <numFmt numFmtId="164" formatCode="&quot;$&quot;\ #,##0"/>
    <numFmt numFmtId="165" formatCode="_-&quot;$&quot;\ * #,##0_-;\-&quot;$&quot;\ * #,##0_-;_-&quot;$&quot;\ * &quot;-&quot;??_-;_-@_-"/>
    <numFmt numFmtId="166" formatCode="0.0%"/>
  </numFmts>
  <fonts count="24" x14ac:knownFonts="1">
    <font>
      <sz val="11"/>
      <color theme="1"/>
      <name val="Calibri"/>
      <scheme val="minor"/>
    </font>
    <font>
      <sz val="11"/>
      <color theme="1"/>
      <name val="Calibri"/>
      <family val="2"/>
      <scheme val="minor"/>
    </font>
    <font>
      <sz val="11"/>
      <color theme="1"/>
      <name val="Calibri"/>
      <family val="2"/>
      <scheme val="minor"/>
    </font>
    <font>
      <sz val="11"/>
      <color theme="1"/>
      <name val="Calibri"/>
    </font>
    <font>
      <sz val="11"/>
      <color theme="1"/>
      <name val="Calibri"/>
    </font>
    <font>
      <sz val="11"/>
      <color theme="1"/>
      <name val="Calibri"/>
      <family val="2"/>
    </font>
    <font>
      <sz val="8"/>
      <name val="Calibri"/>
      <family val="2"/>
      <scheme val="minor"/>
    </font>
    <font>
      <b/>
      <sz val="11"/>
      <color theme="1"/>
      <name val="Calibri"/>
      <family val="2"/>
      <scheme val="minor"/>
    </font>
    <font>
      <sz val="12"/>
      <color theme="1"/>
      <name val="Calibri"/>
      <family val="2"/>
      <scheme val="minor"/>
    </font>
    <font>
      <b/>
      <sz val="14"/>
      <color theme="2" tint="-4.9989318521683403E-2"/>
      <name val="Calibri"/>
      <family val="2"/>
      <scheme val="minor"/>
    </font>
    <font>
      <sz val="14"/>
      <color theme="1"/>
      <name val="Calibri"/>
      <family val="2"/>
      <scheme val="minor"/>
    </font>
    <font>
      <sz val="14"/>
      <name val="Calibri"/>
      <family val="2"/>
      <scheme val="minor"/>
    </font>
    <font>
      <b/>
      <sz val="14"/>
      <color theme="1"/>
      <name val="Calibri"/>
      <family val="2"/>
      <scheme val="minor"/>
    </font>
    <font>
      <b/>
      <sz val="12"/>
      <color theme="1"/>
      <name val="Calibri"/>
      <family val="2"/>
      <scheme val="minor"/>
    </font>
    <font>
      <b/>
      <sz val="11"/>
      <color theme="2"/>
      <name val="Calibri"/>
      <family val="2"/>
      <scheme val="minor"/>
    </font>
    <font>
      <b/>
      <sz val="14"/>
      <color theme="2"/>
      <name val="Calibri"/>
      <family val="2"/>
      <scheme val="minor"/>
    </font>
    <font>
      <sz val="11"/>
      <color theme="1"/>
      <name val="Calibri"/>
      <scheme val="minor"/>
    </font>
    <font>
      <b/>
      <sz val="16"/>
      <color theme="4" tint="-0.499984740745262"/>
      <name val="Segoe UI"/>
      <family val="2"/>
    </font>
    <font>
      <i/>
      <sz val="10"/>
      <color theme="3" tint="0.14999847407452621"/>
      <name val="Segoe UI"/>
      <family val="2"/>
    </font>
    <font>
      <sz val="11"/>
      <color theme="1"/>
      <name val="Segoe UI"/>
      <family val="2"/>
    </font>
    <font>
      <sz val="9"/>
      <color theme="3" tint="0.14999847407452621"/>
      <name val="Segoe UI"/>
      <family val="2"/>
    </font>
    <font>
      <b/>
      <sz val="11"/>
      <color theme="1"/>
      <name val="Segoe UI"/>
      <family val="2"/>
    </font>
    <font>
      <b/>
      <sz val="18"/>
      <color theme="1"/>
      <name val="Segoe UI"/>
      <family val="2"/>
    </font>
    <font>
      <b/>
      <sz val="14"/>
      <color theme="1"/>
      <name val="Segoe UI"/>
      <family val="2"/>
    </font>
  </fonts>
  <fills count="11">
    <fill>
      <patternFill patternType="none"/>
    </fill>
    <fill>
      <patternFill patternType="gray125"/>
    </fill>
    <fill>
      <patternFill patternType="solid">
        <fgColor rgb="FFFFFF00"/>
        <bgColor indexed="64"/>
      </patternFill>
    </fill>
    <fill>
      <patternFill patternType="solid">
        <fgColor theme="4" tint="-0.499984740745262"/>
        <bgColor indexed="64"/>
      </patternFill>
    </fill>
    <fill>
      <patternFill patternType="solid">
        <fgColor theme="4" tint="0.39997558519241921"/>
        <bgColor indexed="64"/>
      </patternFill>
    </fill>
    <fill>
      <patternFill patternType="solid">
        <fgColor theme="2" tint="-4.9989318521683403E-2"/>
        <bgColor indexed="64"/>
      </patternFill>
    </fill>
    <fill>
      <patternFill patternType="solid">
        <fgColor theme="4" tint="-0.249977111117893"/>
        <bgColor indexed="64"/>
      </patternFill>
    </fill>
    <fill>
      <patternFill patternType="solid">
        <fgColor theme="4" tint="0.59999389629810485"/>
        <bgColor indexed="64"/>
      </patternFill>
    </fill>
    <fill>
      <patternFill patternType="solid">
        <fgColor theme="4" tint="0.79998168889431442"/>
        <bgColor indexed="64"/>
      </patternFill>
    </fill>
    <fill>
      <patternFill patternType="solid">
        <fgColor theme="0" tint="-4.9989318521683403E-2"/>
        <bgColor indexed="64"/>
      </patternFill>
    </fill>
    <fill>
      <patternFill patternType="solid">
        <fgColor theme="0"/>
        <bgColor indexed="64"/>
      </patternFill>
    </fill>
  </fills>
  <borders count="10">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s>
  <cellStyleXfs count="3">
    <xf numFmtId="0" fontId="0" fillId="0" borderId="0"/>
    <xf numFmtId="44" fontId="16" fillId="0" borderId="0" applyFont="0" applyFill="0" applyBorder="0" applyAlignment="0" applyProtection="0"/>
    <xf numFmtId="9" fontId="16" fillId="0" borderId="0" applyFont="0" applyFill="0" applyBorder="0" applyAlignment="0" applyProtection="0"/>
  </cellStyleXfs>
  <cellXfs count="66">
    <xf numFmtId="0" fontId="0" fillId="0" borderId="0" xfId="0"/>
    <xf numFmtId="0" fontId="3" fillId="0" borderId="0" xfId="0" applyFont="1"/>
    <xf numFmtId="0" fontId="3" fillId="0" borderId="0" xfId="0" applyFont="1" applyAlignment="1">
      <alignment horizontal="left" vertical="top"/>
    </xf>
    <xf numFmtId="0" fontId="0" fillId="0" borderId="0" xfId="0" applyAlignment="1">
      <alignment horizontal="left" vertical="top"/>
    </xf>
    <xf numFmtId="164" fontId="3" fillId="0" borderId="0" xfId="0" applyNumberFormat="1" applyFont="1" applyAlignment="1">
      <alignment horizontal="left" vertical="top"/>
    </xf>
    <xf numFmtId="164" fontId="0" fillId="0" borderId="0" xfId="0" applyNumberFormat="1" applyAlignment="1">
      <alignment horizontal="left" vertical="top"/>
    </xf>
    <xf numFmtId="9" fontId="0" fillId="0" borderId="0" xfId="0" applyNumberFormat="1" applyAlignment="1">
      <alignment horizontal="left" vertical="top"/>
    </xf>
    <xf numFmtId="14" fontId="0" fillId="0" borderId="0" xfId="0" applyNumberFormat="1" applyAlignment="1">
      <alignment horizontal="left" vertical="top"/>
    </xf>
    <xf numFmtId="14" fontId="3" fillId="0" borderId="0" xfId="0" applyNumberFormat="1" applyFont="1" applyAlignment="1">
      <alignment horizontal="left" vertical="top"/>
    </xf>
    <xf numFmtId="14" fontId="4" fillId="0" borderId="0" xfId="0" applyNumberFormat="1" applyFont="1" applyAlignment="1">
      <alignment horizontal="left" vertical="top"/>
    </xf>
    <xf numFmtId="0" fontId="5" fillId="0" borderId="0" xfId="0" applyFont="1"/>
    <xf numFmtId="164" fontId="0" fillId="0" borderId="0" xfId="0" applyNumberFormat="1"/>
    <xf numFmtId="0" fontId="0" fillId="2" borderId="0" xfId="0" applyFill="1"/>
    <xf numFmtId="0" fontId="7" fillId="2" borderId="0" xfId="0" applyFont="1" applyFill="1"/>
    <xf numFmtId="164" fontId="5" fillId="0" borderId="0" xfId="0" applyNumberFormat="1" applyFont="1" applyAlignment="1">
      <alignment horizontal="left" vertical="top"/>
    </xf>
    <xf numFmtId="0" fontId="2" fillId="0" borderId="0" xfId="0" applyFont="1"/>
    <xf numFmtId="14" fontId="0" fillId="0" borderId="0" xfId="0" applyNumberFormat="1"/>
    <xf numFmtId="14" fontId="2" fillId="0" borderId="0" xfId="0" applyNumberFormat="1" applyFont="1"/>
    <xf numFmtId="164" fontId="2" fillId="0" borderId="0" xfId="0" applyNumberFormat="1" applyFont="1"/>
    <xf numFmtId="0" fontId="9" fillId="3" borderId="1" xfId="0" applyFont="1" applyFill="1" applyBorder="1"/>
    <xf numFmtId="0" fontId="10" fillId="4" borderId="1" xfId="0" applyFont="1" applyFill="1" applyBorder="1"/>
    <xf numFmtId="0" fontId="12" fillId="0" borderId="1" xfId="0" applyFont="1" applyBorder="1" applyProtection="1">
      <protection locked="0"/>
    </xf>
    <xf numFmtId="0" fontId="11" fillId="5" borderId="1" xfId="0" applyFont="1" applyFill="1" applyBorder="1" applyProtection="1">
      <protection hidden="1"/>
    </xf>
    <xf numFmtId="0" fontId="0" fillId="0" borderId="0" xfId="0" applyProtection="1">
      <protection hidden="1"/>
    </xf>
    <xf numFmtId="164" fontId="0" fillId="0" borderId="0" xfId="0" applyNumberFormat="1" applyProtection="1">
      <protection hidden="1"/>
    </xf>
    <xf numFmtId="164" fontId="2" fillId="0" borderId="0" xfId="0" applyNumberFormat="1" applyFont="1" applyProtection="1">
      <protection hidden="1"/>
    </xf>
    <xf numFmtId="164" fontId="3" fillId="0" borderId="0" xfId="0" applyNumberFormat="1" applyFont="1" applyAlignment="1" applyProtection="1">
      <alignment horizontal="left" vertical="top"/>
      <protection hidden="1"/>
    </xf>
    <xf numFmtId="0" fontId="7" fillId="0" borderId="0" xfId="0" applyFont="1" applyAlignment="1">
      <alignment horizontal="center" vertical="center"/>
    </xf>
    <xf numFmtId="164" fontId="0" fillId="0" borderId="0" xfId="0" applyNumberFormat="1" applyAlignment="1">
      <alignment horizontal="center" vertical="center"/>
    </xf>
    <xf numFmtId="0" fontId="0" fillId="0" borderId="0" xfId="0" applyAlignment="1">
      <alignment horizontal="center" vertical="center"/>
    </xf>
    <xf numFmtId="0" fontId="1" fillId="0" borderId="0" xfId="0" applyFont="1"/>
    <xf numFmtId="164" fontId="0" fillId="0" borderId="1" xfId="0" applyNumberFormat="1" applyBorder="1"/>
    <xf numFmtId="0" fontId="14" fillId="6" borderId="1" xfId="0" applyFont="1" applyFill="1" applyBorder="1"/>
    <xf numFmtId="0" fontId="15" fillId="6" borderId="1" xfId="0" applyFont="1" applyFill="1" applyBorder="1"/>
    <xf numFmtId="0" fontId="12" fillId="7" borderId="1" xfId="0" applyFont="1" applyFill="1" applyBorder="1" applyAlignment="1">
      <alignment horizontal="center" vertical="center"/>
    </xf>
    <xf numFmtId="164" fontId="10" fillId="0" borderId="1" xfId="0" applyNumberFormat="1" applyFont="1" applyBorder="1" applyAlignment="1">
      <alignment horizontal="center" vertical="center"/>
    </xf>
    <xf numFmtId="0" fontId="14" fillId="6" borderId="1" xfId="0" applyFont="1" applyFill="1" applyBorder="1" applyAlignment="1">
      <alignment horizontal="center" vertical="center"/>
    </xf>
    <xf numFmtId="0" fontId="1" fillId="8" borderId="1" xfId="0" applyFont="1" applyFill="1" applyBorder="1"/>
    <xf numFmtId="164" fontId="0" fillId="8" borderId="1" xfId="0" applyNumberFormat="1" applyFill="1" applyBorder="1"/>
    <xf numFmtId="0" fontId="0" fillId="8" borderId="1" xfId="0" applyFill="1" applyBorder="1"/>
    <xf numFmtId="0" fontId="15" fillId="6" borderId="1" xfId="0" applyFont="1" applyFill="1" applyBorder="1" applyAlignment="1">
      <alignment horizontal="center" vertical="center"/>
    </xf>
    <xf numFmtId="164" fontId="10" fillId="8" borderId="1" xfId="0" applyNumberFormat="1" applyFont="1" applyFill="1" applyBorder="1" applyAlignment="1">
      <alignment horizontal="center" vertical="center"/>
    </xf>
    <xf numFmtId="0" fontId="1" fillId="0" borderId="0" xfId="0" applyFont="1" applyAlignment="1">
      <alignment horizontal="left" vertical="center" wrapText="1"/>
    </xf>
    <xf numFmtId="0" fontId="0" fillId="0" borderId="0" xfId="0" pivotButton="1"/>
    <xf numFmtId="0" fontId="0" fillId="0" borderId="0" xfId="0" applyAlignment="1">
      <alignment horizontal="left"/>
    </xf>
    <xf numFmtId="0" fontId="17" fillId="9" borderId="0" xfId="0" applyFont="1" applyFill="1"/>
    <xf numFmtId="0" fontId="18" fillId="9" borderId="0" xfId="0" applyFont="1" applyFill="1"/>
    <xf numFmtId="0" fontId="19" fillId="9" borderId="0" xfId="0" applyFont="1" applyFill="1"/>
    <xf numFmtId="0" fontId="19" fillId="10" borderId="3" xfId="0" applyFont="1" applyFill="1" applyBorder="1"/>
    <xf numFmtId="0" fontId="19" fillId="10" borderId="4" xfId="0" applyFont="1" applyFill="1" applyBorder="1"/>
    <xf numFmtId="0" fontId="19" fillId="10" borderId="0" xfId="0" applyFont="1" applyFill="1"/>
    <xf numFmtId="0" fontId="19" fillId="10" borderId="6" xfId="0" applyFont="1" applyFill="1" applyBorder="1"/>
    <xf numFmtId="0" fontId="19" fillId="10" borderId="7" xfId="0" applyFont="1" applyFill="1" applyBorder="1"/>
    <xf numFmtId="0" fontId="19" fillId="10" borderId="8" xfId="0" applyFont="1" applyFill="1" applyBorder="1"/>
    <xf numFmtId="0" fontId="19" fillId="10" borderId="9" xfId="0" applyFont="1" applyFill="1" applyBorder="1"/>
    <xf numFmtId="0" fontId="20" fillId="10" borderId="2" xfId="0" applyFont="1" applyFill="1" applyBorder="1"/>
    <xf numFmtId="165" fontId="22" fillId="10" borderId="5" xfId="1" applyNumberFormat="1" applyFont="1" applyFill="1" applyBorder="1"/>
    <xf numFmtId="166" fontId="22" fillId="10" borderId="5" xfId="2" applyNumberFormat="1" applyFont="1" applyFill="1" applyBorder="1"/>
    <xf numFmtId="0" fontId="0" fillId="0" borderId="1" xfId="0" applyBorder="1"/>
    <xf numFmtId="0" fontId="0" fillId="7" borderId="1" xfId="0" applyFill="1" applyBorder="1"/>
    <xf numFmtId="0" fontId="23" fillId="0" borderId="0" xfId="0" applyFont="1"/>
    <xf numFmtId="0" fontId="21" fillId="0" borderId="0" xfId="0" applyFont="1"/>
    <xf numFmtId="0" fontId="0" fillId="0" borderId="0" xfId="0" applyAlignment="1">
      <alignment horizontal="center" wrapText="1"/>
    </xf>
    <xf numFmtId="0" fontId="8" fillId="0" borderId="0" xfId="0" applyFont="1" applyAlignment="1">
      <alignment horizontal="left" vertical="center" wrapText="1"/>
    </xf>
    <xf numFmtId="0" fontId="8" fillId="0" borderId="0" xfId="0" applyFont="1" applyAlignment="1">
      <alignment horizontal="left" vertical="center"/>
    </xf>
    <xf numFmtId="0" fontId="19" fillId="0" borderId="0" xfId="0" applyFont="1" applyAlignment="1">
      <alignment horizontal="left" vertical="center" wrapText="1"/>
    </xf>
  </cellXfs>
  <cellStyles count="3">
    <cellStyle name="Moneda" xfId="1" builtinId="4"/>
    <cellStyle name="Normal" xfId="0" builtinId="0"/>
    <cellStyle name="Porcentaje" xfId="2" builtinId="5"/>
  </cellStyles>
  <dxfs count="49">
    <dxf>
      <font>
        <color rgb="FF008A3E"/>
      </font>
    </dxf>
    <dxf>
      <font>
        <color rgb="FFFF0000"/>
      </font>
    </dxf>
    <dxf>
      <numFmt numFmtId="19" formatCode="d/mm/yyyy"/>
    </dxf>
    <dxf>
      <font>
        <b val="0"/>
        <i val="0"/>
        <strike val="0"/>
        <condense val="0"/>
        <extend val="0"/>
        <outline val="0"/>
        <shadow val="0"/>
        <u val="none"/>
        <vertAlign val="baseline"/>
        <sz val="11"/>
        <color theme="1"/>
        <name val="Calibri"/>
        <family val="2"/>
        <scheme val="minor"/>
      </font>
    </dxf>
    <dxf>
      <numFmt numFmtId="164" formatCode="&quot;$&quot;\ #,##0"/>
      <alignment horizontal="center" vertical="center" textRotation="0" wrapText="0" indent="0" justifyLastLine="0" shrinkToFit="0" readingOrder="0"/>
    </dxf>
    <dxf>
      <numFmt numFmtId="164" formatCode="&quot;$&quot;\ #,##0"/>
      <alignment horizontal="center" vertical="center" textRotation="0" wrapText="0" indent="0" justifyLastLine="0" shrinkToFit="0" readingOrder="0"/>
    </dxf>
    <dxf>
      <numFmt numFmtId="164" formatCode="&quot;$&quot;\ #,##0"/>
      <alignment horizontal="center" vertical="center" textRotation="0" wrapText="0" indent="0" justifyLastLine="0" shrinkToFit="0" readingOrder="0"/>
    </dxf>
    <dxf>
      <numFmt numFmtId="164" formatCode="&quot;$&quot;\ #,##0"/>
      <alignment horizontal="center" vertical="center" textRotation="0" wrapText="0" indent="0" justifyLastLine="0" shrinkToFit="0" readingOrder="0"/>
    </dxf>
    <dxf>
      <numFmt numFmtId="164" formatCode="&quot;$&quot;\ #,##0"/>
      <alignment horizontal="center" vertical="center" textRotation="0" wrapText="0" indent="0" justifyLastLine="0" shrinkToFit="0" readingOrder="0"/>
    </dxf>
    <dxf>
      <font>
        <b/>
        <family val="2"/>
      </font>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numFmt numFmtId="164" formatCode="&quot;$&quot;\ #,##0"/>
      <protection locked="1" hidden="1"/>
    </dxf>
    <dxf>
      <numFmt numFmtId="164" formatCode="&quot;$&quot;\ #,##0"/>
      <protection locked="1" hidden="1"/>
    </dxf>
    <dxf>
      <numFmt numFmtId="164" formatCode="&quot;$&quot;\ #,##0"/>
      <protection locked="1" hidden="1"/>
    </dxf>
    <dxf>
      <numFmt numFmtId="164" formatCode="&quot;$&quot;\ #,##0"/>
      <protection locked="1" hidden="1"/>
    </dxf>
    <dxf>
      <numFmt numFmtId="19" formatCode="d/mm/yyyy"/>
    </dxf>
    <dxf>
      <numFmt numFmtId="164" formatCode="&quot;$&quot;\ #,##0"/>
    </dxf>
    <dxf>
      <numFmt numFmtId="19" formatCode="d/mm/yyyy"/>
    </dxf>
    <dxf>
      <font>
        <b val="0"/>
        <i val="0"/>
        <strike val="0"/>
        <condense val="0"/>
        <extend val="0"/>
        <outline val="0"/>
        <shadow val="0"/>
        <u val="none"/>
        <vertAlign val="baseline"/>
        <sz val="11"/>
        <color theme="1"/>
        <name val="Calibri"/>
        <scheme val="none"/>
      </font>
      <numFmt numFmtId="164" formatCode="&quot;$&quot;\ #,##0"/>
      <alignment horizontal="left" vertical="top" textRotation="0" wrapText="0" indent="0" justifyLastLine="0" shrinkToFit="0" readingOrder="0"/>
      <protection locked="1" hidden="1"/>
    </dxf>
    <dxf>
      <font>
        <b val="0"/>
        <i val="0"/>
        <strike val="0"/>
        <condense val="0"/>
        <extend val="0"/>
        <outline val="0"/>
        <shadow val="0"/>
        <u val="none"/>
        <vertAlign val="baseline"/>
        <sz val="11"/>
        <color theme="1"/>
        <name val="Calibri"/>
        <scheme val="none"/>
      </font>
      <numFmt numFmtId="164" formatCode="&quot;$&quot;\ #,##0"/>
      <alignment horizontal="left" vertical="top" textRotation="0" wrapText="0" indent="0" justifyLastLine="0" shrinkToFit="0" readingOrder="0"/>
      <protection locked="1" hidden="1"/>
    </dxf>
    <dxf>
      <font>
        <b val="0"/>
        <i val="0"/>
        <strike val="0"/>
        <condense val="0"/>
        <extend val="0"/>
        <outline val="0"/>
        <shadow val="0"/>
        <u val="none"/>
        <vertAlign val="baseline"/>
        <sz val="11"/>
        <color theme="1"/>
        <name val="Calibri"/>
        <scheme val="none"/>
      </font>
      <numFmt numFmtId="164" formatCode="&quot;$&quot;\ #,##0"/>
      <alignment horizontal="left" vertical="top" textRotation="0" wrapText="0" indent="0" justifyLastLine="0" shrinkToFit="0" readingOrder="0"/>
    </dxf>
    <dxf>
      <font>
        <b val="0"/>
        <i val="0"/>
        <strike val="0"/>
        <condense val="0"/>
        <extend val="0"/>
        <outline val="0"/>
        <shadow val="0"/>
        <u val="none"/>
        <vertAlign val="baseline"/>
        <sz val="11"/>
        <color theme="1"/>
        <name val="Calibri"/>
        <scheme val="none"/>
      </font>
      <alignment horizontal="left" vertical="top" textRotation="0" wrapText="0" indent="0" justifyLastLine="0" shrinkToFit="0" readingOrder="0"/>
    </dxf>
    <dxf>
      <font>
        <b val="0"/>
        <i val="0"/>
        <strike val="0"/>
        <condense val="0"/>
        <extend val="0"/>
        <outline val="0"/>
        <shadow val="0"/>
        <u val="none"/>
        <vertAlign val="baseline"/>
        <sz val="11"/>
        <color theme="1"/>
        <name val="Calibri"/>
        <scheme val="none"/>
      </font>
      <alignment horizontal="left" vertical="top" textRotation="0" wrapText="0" indent="0" justifyLastLine="0" shrinkToFit="0" readingOrder="0"/>
    </dxf>
    <dxf>
      <font>
        <b val="0"/>
        <i val="0"/>
        <strike val="0"/>
        <condense val="0"/>
        <extend val="0"/>
        <outline val="0"/>
        <shadow val="0"/>
        <u val="none"/>
        <vertAlign val="baseline"/>
        <sz val="11"/>
        <color theme="1"/>
        <name val="Calibri"/>
        <scheme val="none"/>
      </font>
      <numFmt numFmtId="19" formatCode="d/mm/yyyy"/>
      <alignment horizontal="left" vertical="top" textRotation="0" wrapText="0" indent="0" justifyLastLine="0" shrinkToFit="0" readingOrder="0"/>
    </dxf>
    <dxf>
      <font>
        <b val="0"/>
        <i val="0"/>
        <strike val="0"/>
        <condense val="0"/>
        <extend val="0"/>
        <outline val="0"/>
        <shadow val="0"/>
        <u val="none"/>
        <vertAlign val="baseline"/>
        <sz val="11"/>
        <color theme="1"/>
        <name val="Calibri"/>
        <scheme val="none"/>
      </font>
      <numFmt numFmtId="19" formatCode="d/mm/yyyy"/>
      <alignment horizontal="left" vertical="top" textRotation="0" wrapText="0" indent="0" justifyLastLine="0" shrinkToFit="0" readingOrder="0"/>
    </dxf>
    <dxf>
      <font>
        <b val="0"/>
        <i val="0"/>
        <strike val="0"/>
        <condense val="0"/>
        <extend val="0"/>
        <outline val="0"/>
        <shadow val="0"/>
        <u val="none"/>
        <vertAlign val="baseline"/>
        <sz val="11"/>
        <color theme="1"/>
        <name val="Calibri"/>
        <scheme val="none"/>
      </font>
      <alignment horizontal="left" vertical="top" textRotation="0" wrapText="0" indent="0" justifyLastLine="0" shrinkToFit="0" readingOrder="0"/>
    </dxf>
    <dxf>
      <font>
        <b val="0"/>
        <i val="0"/>
        <strike val="0"/>
        <condense val="0"/>
        <extend val="0"/>
        <outline val="0"/>
        <shadow val="0"/>
        <u val="none"/>
        <vertAlign val="baseline"/>
        <sz val="11"/>
        <color theme="1"/>
        <name val="Calibri"/>
        <scheme val="none"/>
      </font>
      <alignment horizontal="left" vertical="top" textRotation="0" wrapText="0" indent="0" justifyLastLine="0" shrinkToFit="0" readingOrder="0"/>
    </dxf>
    <dxf>
      <font>
        <b val="0"/>
        <i val="0"/>
        <strike val="0"/>
        <condense val="0"/>
        <extend val="0"/>
        <outline val="0"/>
        <shadow val="0"/>
        <u val="none"/>
        <vertAlign val="baseline"/>
        <sz val="11"/>
        <color theme="1"/>
        <name val="Calibri"/>
        <scheme val="none"/>
      </font>
      <alignment horizontal="left" vertical="top" textRotation="0" wrapText="0" indent="0" justifyLastLine="0" shrinkToFit="0" readingOrder="0"/>
    </dxf>
    <dxf>
      <font>
        <b val="0"/>
        <i val="0"/>
        <strike val="0"/>
        <condense val="0"/>
        <extend val="0"/>
        <outline val="0"/>
        <shadow val="0"/>
        <u val="none"/>
        <vertAlign val="baseline"/>
        <sz val="11"/>
        <color theme="1"/>
        <name val="Calibri"/>
        <scheme val="none"/>
      </font>
    </dxf>
    <dxf>
      <font>
        <b val="0"/>
        <i val="0"/>
        <strike val="0"/>
        <condense val="0"/>
        <extend val="0"/>
        <outline val="0"/>
        <shadow val="0"/>
        <u val="none"/>
        <vertAlign val="baseline"/>
        <sz val="11"/>
        <color theme="1"/>
        <name val="Calibri"/>
        <scheme val="none"/>
      </font>
    </dxf>
    <dxf>
      <font>
        <b val="0"/>
        <i val="0"/>
        <strike val="0"/>
        <condense val="0"/>
        <extend val="0"/>
        <outline val="0"/>
        <shadow val="0"/>
        <u val="none"/>
        <vertAlign val="baseline"/>
        <sz val="11"/>
        <color theme="1"/>
        <name val="Calibri"/>
        <scheme val="none"/>
      </font>
    </dxf>
    <dxf>
      <font>
        <b val="0"/>
        <i val="0"/>
        <strike val="0"/>
        <condense val="0"/>
        <extend val="0"/>
        <outline val="0"/>
        <shadow val="0"/>
        <u val="none"/>
        <vertAlign val="baseline"/>
        <sz val="11"/>
        <color theme="1"/>
        <name val="Calibri"/>
        <scheme val="none"/>
      </font>
    </dxf>
    <dxf>
      <font>
        <b val="0"/>
        <i val="0"/>
        <strike val="0"/>
        <condense val="0"/>
        <extend val="0"/>
        <outline val="0"/>
        <shadow val="0"/>
        <u val="none"/>
        <vertAlign val="baseline"/>
        <sz val="11"/>
        <color theme="1"/>
        <name val="Calibri"/>
        <scheme val="none"/>
      </font>
    </dxf>
    <dxf>
      <font>
        <b val="0"/>
        <i val="0"/>
        <strike val="0"/>
        <condense val="0"/>
        <extend val="0"/>
        <outline val="0"/>
        <shadow val="0"/>
        <u val="none"/>
        <vertAlign val="baseline"/>
        <sz val="11"/>
        <color theme="1"/>
        <name val="Calibri"/>
        <scheme val="none"/>
      </font>
    </dxf>
    <dxf>
      <font>
        <b val="0"/>
        <i val="0"/>
        <strike val="0"/>
        <condense val="0"/>
        <extend val="0"/>
        <outline val="0"/>
        <shadow val="0"/>
        <u val="none"/>
        <vertAlign val="baseline"/>
        <sz val="11"/>
        <color theme="1"/>
        <name val="Calibri"/>
        <scheme val="none"/>
      </font>
    </dxf>
    <dxf>
      <font>
        <b val="0"/>
        <i val="0"/>
        <strike val="0"/>
        <condense val="0"/>
        <extend val="0"/>
        <outline val="0"/>
        <shadow val="0"/>
        <u val="none"/>
        <vertAlign val="baseline"/>
        <sz val="11"/>
        <color theme="1"/>
        <name val="Calibri"/>
        <scheme val="none"/>
      </font>
      <alignment horizontal="left" vertical="top" textRotation="0" wrapText="0" indent="0" justifyLastLine="0" shrinkToFit="0" readingOrder="0"/>
    </dxf>
    <dxf>
      <font>
        <b val="0"/>
        <i val="0"/>
        <strike val="0"/>
        <condense val="0"/>
        <extend val="0"/>
        <outline val="0"/>
        <shadow val="0"/>
        <u val="none"/>
        <vertAlign val="baseline"/>
        <sz val="11"/>
        <color theme="1"/>
        <name val="Calibri"/>
        <scheme val="none"/>
      </font>
    </dxf>
    <dxf>
      <font>
        <b val="0"/>
        <i val="0"/>
        <strike val="0"/>
        <condense val="0"/>
        <extend val="0"/>
        <outline val="0"/>
        <shadow val="0"/>
        <u val="none"/>
        <vertAlign val="baseline"/>
        <sz val="11"/>
        <color theme="1"/>
        <name val="Calibri"/>
        <scheme val="none"/>
      </font>
    </dxf>
    <dxf>
      <font>
        <b val="0"/>
        <i val="0"/>
        <strike val="0"/>
        <condense val="0"/>
        <extend val="0"/>
        <outline val="0"/>
        <shadow val="0"/>
        <u val="none"/>
        <vertAlign val="baseline"/>
        <sz val="11"/>
        <color theme="1"/>
        <name val="Calibri"/>
        <scheme val="none"/>
      </font>
      <numFmt numFmtId="0" formatCode="General"/>
      <alignment horizontal="left" vertical="top" textRotation="0" wrapText="0" indent="0" justifyLastLine="0" shrinkToFit="0" readingOrder="0"/>
    </dxf>
    <dxf>
      <font>
        <b val="0"/>
        <i val="0"/>
        <strike val="0"/>
        <condense val="0"/>
        <extend val="0"/>
        <outline val="0"/>
        <shadow val="0"/>
        <u val="none"/>
        <vertAlign val="baseline"/>
        <sz val="11"/>
        <color theme="1"/>
        <name val="Calibri"/>
        <scheme val="none"/>
      </font>
      <numFmt numFmtId="0" formatCode="General"/>
      <alignment horizontal="left" vertical="top" textRotation="0" wrapText="0" indent="0" justifyLastLine="0" shrinkToFit="0" readingOrder="0"/>
    </dxf>
    <dxf>
      <font>
        <b val="0"/>
        <i val="0"/>
        <strike val="0"/>
        <condense val="0"/>
        <extend val="0"/>
        <outline val="0"/>
        <shadow val="0"/>
        <u val="none"/>
        <vertAlign val="baseline"/>
        <sz val="11"/>
        <color theme="1"/>
        <name val="Calibri"/>
        <scheme val="none"/>
      </font>
      <numFmt numFmtId="164" formatCode="&quot;$&quot;\ #,##0"/>
      <alignment horizontal="left" vertical="top" textRotation="0" wrapText="0" indent="0" justifyLastLine="0" shrinkToFit="0" readingOrder="0"/>
    </dxf>
    <dxf>
      <font>
        <b val="0"/>
        <i val="0"/>
        <strike val="0"/>
        <condense val="0"/>
        <extend val="0"/>
        <outline val="0"/>
        <shadow val="0"/>
        <u val="none"/>
        <vertAlign val="baseline"/>
        <sz val="11"/>
        <color theme="1"/>
        <name val="Calibri"/>
        <scheme val="none"/>
      </font>
      <alignment horizontal="left" vertical="top" textRotation="0" wrapText="0" indent="0" justifyLastLine="0" shrinkToFit="0" readingOrder="0"/>
    </dxf>
    <dxf>
      <font>
        <b val="0"/>
        <i val="0"/>
        <strike val="0"/>
        <condense val="0"/>
        <extend val="0"/>
        <outline val="0"/>
        <shadow val="0"/>
        <u val="none"/>
        <vertAlign val="baseline"/>
        <sz val="11"/>
        <color theme="1"/>
        <name val="Calibri"/>
        <scheme val="none"/>
      </font>
      <alignment horizontal="left" vertical="top" textRotation="0" wrapText="0" indent="0" justifyLastLine="0" shrinkToFit="0" readingOrder="0"/>
    </dxf>
    <dxf>
      <font>
        <b val="0"/>
        <i val="0"/>
        <strike val="0"/>
        <condense val="0"/>
        <extend val="0"/>
        <outline val="0"/>
        <shadow val="0"/>
        <u val="none"/>
        <vertAlign val="baseline"/>
        <sz val="11"/>
        <color theme="1"/>
        <name val="Calibri"/>
        <scheme val="none"/>
      </font>
      <numFmt numFmtId="19" formatCode="d/mm/yyyy"/>
      <alignment horizontal="left" vertical="top" textRotation="0" wrapText="0" indent="0" justifyLastLine="0" shrinkToFit="0" readingOrder="0"/>
    </dxf>
    <dxf>
      <font>
        <b val="0"/>
        <i val="0"/>
        <strike val="0"/>
        <condense val="0"/>
        <extend val="0"/>
        <outline val="0"/>
        <shadow val="0"/>
        <u val="none"/>
        <vertAlign val="baseline"/>
        <sz val="11"/>
        <color theme="1"/>
        <name val="Calibri"/>
        <scheme val="none"/>
      </font>
      <numFmt numFmtId="19" formatCode="d/mm/yyyy"/>
      <alignment horizontal="left" vertical="top" textRotation="0" wrapText="0" indent="0" justifyLastLine="0" shrinkToFit="0" readingOrder="0"/>
    </dxf>
    <dxf>
      <font>
        <b val="0"/>
        <i val="0"/>
        <strike val="0"/>
        <condense val="0"/>
        <extend val="0"/>
        <outline val="0"/>
        <shadow val="0"/>
        <u val="none"/>
        <vertAlign val="baseline"/>
        <sz val="11"/>
        <color theme="1"/>
        <name val="Calibri"/>
        <scheme val="none"/>
      </font>
      <alignment horizontal="left" vertical="top" textRotation="0" wrapText="0" indent="0" justifyLastLine="0" shrinkToFit="0" readingOrder="0"/>
    </dxf>
    <dxf>
      <font>
        <b val="0"/>
        <i val="0"/>
        <strike val="0"/>
        <condense val="0"/>
        <extend val="0"/>
        <outline val="0"/>
        <shadow val="0"/>
        <u val="none"/>
        <vertAlign val="baseline"/>
        <sz val="11"/>
        <color theme="1"/>
        <name val="Calibri"/>
        <scheme val="none"/>
      </font>
      <alignment horizontal="left" vertical="top" textRotation="0" wrapText="0" indent="0" justifyLastLine="0" shrinkToFit="0" readingOrder="0"/>
    </dxf>
    <dxf>
      <font>
        <b val="0"/>
        <i val="0"/>
        <strike val="0"/>
        <condense val="0"/>
        <extend val="0"/>
        <outline val="0"/>
        <shadow val="0"/>
        <u val="none"/>
        <vertAlign val="baseline"/>
        <sz val="11"/>
        <color theme="1"/>
        <name val="Calibri"/>
        <scheme val="none"/>
      </font>
      <alignment horizontal="left" vertical="top" textRotation="0" wrapText="0" indent="0" justifyLastLine="0" shrinkToFit="0" readingOrder="0"/>
    </dxf>
  </dxfs>
  <tableStyles count="0" defaultTableStyle="TableStyleMedium2" defaultPivotStyle="PivotStyleLight16"/>
  <colors>
    <mruColors>
      <color rgb="FF008A3E"/>
      <color rgb="FF0033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microsoft.com/office/2007/relationships/slicerCache" Target="slicerCaches/slicerCache3.xml"/><Relationship Id="rId26" Type="http://schemas.openxmlformats.org/officeDocument/2006/relationships/calcChain" Target="calcChain.xml"/><Relationship Id="rId3" Type="http://schemas.openxmlformats.org/officeDocument/2006/relationships/worksheet" Target="worksheets/sheet3.xml"/><Relationship Id="rId21" Type="http://schemas.openxmlformats.org/officeDocument/2006/relationships/connections" Target="connections.xml"/><Relationship Id="rId7" Type="http://schemas.openxmlformats.org/officeDocument/2006/relationships/worksheet" Target="worksheets/sheet7.xml"/><Relationship Id="rId12" Type="http://schemas.openxmlformats.org/officeDocument/2006/relationships/worksheet" Target="worksheets/sheet12.xml"/><Relationship Id="rId17" Type="http://schemas.microsoft.com/office/2007/relationships/slicerCache" Target="slicerCaches/slicerCache2.xml"/><Relationship Id="rId25" Type="http://schemas.microsoft.com/office/2017/10/relationships/person" Target="persons/person.xml"/><Relationship Id="rId2" Type="http://schemas.openxmlformats.org/officeDocument/2006/relationships/worksheet" Target="worksheets/sheet2.xml"/><Relationship Id="rId16" Type="http://schemas.microsoft.com/office/2007/relationships/slicerCache" Target="slicerCaches/slicerCache1.xml"/><Relationship Id="rId20" Type="http://schemas.openxmlformats.org/officeDocument/2006/relationships/theme" Target="theme/theme1.xml"/><Relationship Id="rId29" Type="http://schemas.openxmlformats.org/officeDocument/2006/relationships/customXml" Target="../customXml/item3.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sheetMetadata" Target="metadata.xml"/><Relationship Id="rId5" Type="http://schemas.openxmlformats.org/officeDocument/2006/relationships/worksheet" Target="worksheets/sheet5.xml"/><Relationship Id="rId15" Type="http://schemas.openxmlformats.org/officeDocument/2006/relationships/pivotCacheDefinition" Target="pivotCache/pivotCacheDefinition1.xml"/><Relationship Id="rId23" Type="http://schemas.openxmlformats.org/officeDocument/2006/relationships/sharedStrings" Target="sharedStrings.xml"/><Relationship Id="rId28" Type="http://schemas.openxmlformats.org/officeDocument/2006/relationships/customXml" Target="../customXml/item2.xml"/><Relationship Id="rId10" Type="http://schemas.openxmlformats.org/officeDocument/2006/relationships/worksheet" Target="worksheets/sheet10.xml"/><Relationship Id="rId19" Type="http://customschemas.google.com/relationships/workbookmetadata" Target="metadata"/><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styles" Target="styles.xml"/><Relationship Id="rId27" Type="http://schemas.openxmlformats.org/officeDocument/2006/relationships/customXml" Target="../customXml/item1.xml"/><Relationship Id="rId30" Type="http://schemas.openxmlformats.org/officeDocument/2006/relationships/customXml" Target="../customXml/item4.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Ex1.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pivotSource>
    <c:name>[Entrega9_DashboardFinal_PrietoVargasJhonCamilo.xlsx]Dashboard!TablaDinámica1</c:name>
    <c:fmtId val="3"/>
  </c:pivotSource>
  <c:chart>
    <c:title>
      <c:tx>
        <c:rich>
          <a:bodyPr rot="0" spcFirstLastPara="1" vertOverflow="ellipsis" vert="horz" wrap="square" anchor="ctr" anchorCtr="1"/>
          <a:lstStyle/>
          <a:p>
            <a:pPr algn="ctr" rtl="0">
              <a:defRPr lang="es-CO" sz="1200" b="1" i="0" u="none" strike="noStrike" kern="1200" spc="0" baseline="0">
                <a:solidFill>
                  <a:srgbClr val="000000">
                    <a:lumMod val="65000"/>
                    <a:lumOff val="35000"/>
                  </a:srgbClr>
                </a:solidFill>
                <a:latin typeface="Segoe UI" panose="020B0502040204020203" pitchFamily="34" charset="0"/>
                <a:ea typeface="+mn-ea"/>
                <a:cs typeface="Segoe UI" panose="020B0502040204020203" pitchFamily="34" charset="0"/>
              </a:defRPr>
            </a:pPr>
            <a:r>
              <a:rPr lang="es-CO" sz="1200" b="1" i="0" u="none" strike="noStrike" kern="1200" spc="0" baseline="0">
                <a:solidFill>
                  <a:srgbClr val="000000">
                    <a:lumMod val="65000"/>
                    <a:lumOff val="35000"/>
                  </a:srgbClr>
                </a:solidFill>
                <a:latin typeface="Segoe UI" panose="020B0502040204020203" pitchFamily="34" charset="0"/>
                <a:ea typeface="+mn-ea"/>
                <a:cs typeface="Segoe UI" panose="020B0502040204020203" pitchFamily="34" charset="0"/>
              </a:rPr>
              <a:t>Bogotá y Medellín concentran el 63% de los ingresos regionales</a:t>
            </a:r>
          </a:p>
        </c:rich>
      </c:tx>
      <c:overlay val="0"/>
      <c:spPr>
        <a:noFill/>
        <a:ln>
          <a:noFill/>
        </a:ln>
        <a:effectLst/>
      </c:spPr>
      <c:txPr>
        <a:bodyPr rot="0" spcFirstLastPara="1" vertOverflow="ellipsis" vert="horz" wrap="square" anchor="ctr" anchorCtr="1"/>
        <a:lstStyle/>
        <a:p>
          <a:pPr algn="ctr" rtl="0">
            <a:defRPr lang="es-CO" sz="1200" b="1" i="0" u="none" strike="noStrike" kern="1200" spc="0" baseline="0">
              <a:solidFill>
                <a:srgbClr val="000000">
                  <a:lumMod val="65000"/>
                  <a:lumOff val="35000"/>
                </a:srgbClr>
              </a:solidFill>
              <a:latin typeface="Segoe UI" panose="020B0502040204020203" pitchFamily="34" charset="0"/>
              <a:ea typeface="+mn-ea"/>
              <a:cs typeface="Segoe UI" panose="020B0502040204020203" pitchFamily="34" charset="0"/>
            </a:defRPr>
          </a:pPr>
          <a:endParaRPr lang="es-CO"/>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O"/>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O"/>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O"/>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O"/>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Dashboard!$B$3</c:f>
              <c:strCache>
                <c:ptCount val="1"/>
                <c:pt idx="0">
                  <c:v>Suma de Precio_Unitario</c:v>
                </c:pt>
              </c:strCache>
            </c:strRef>
          </c:tx>
          <c:spPr>
            <a:solidFill>
              <a:schemeClr val="accent1"/>
            </a:solidFill>
            <a:ln>
              <a:noFill/>
            </a:ln>
            <a:effectLst/>
          </c:spPr>
          <c:invertIfNegative val="0"/>
          <c:cat>
            <c:strRef>
              <c:f>Dashboard!$A$4:$A$9</c:f>
              <c:strCache>
                <c:ptCount val="5"/>
                <c:pt idx="0">
                  <c:v>Barranquilla</c:v>
                </c:pt>
                <c:pt idx="1">
                  <c:v>Bogotá</c:v>
                </c:pt>
                <c:pt idx="2">
                  <c:v>Cali</c:v>
                </c:pt>
                <c:pt idx="3">
                  <c:v>Cartagena</c:v>
                </c:pt>
                <c:pt idx="4">
                  <c:v>Medellín</c:v>
                </c:pt>
              </c:strCache>
            </c:strRef>
          </c:cat>
          <c:val>
            <c:numRef>
              <c:f>Dashboard!$B$4:$B$9</c:f>
              <c:numCache>
                <c:formatCode>"$"\ #,##0</c:formatCode>
                <c:ptCount val="5"/>
                <c:pt idx="0">
                  <c:v>1316147</c:v>
                </c:pt>
                <c:pt idx="1">
                  <c:v>4414688</c:v>
                </c:pt>
                <c:pt idx="2">
                  <c:v>374164</c:v>
                </c:pt>
                <c:pt idx="3">
                  <c:v>752390</c:v>
                </c:pt>
                <c:pt idx="4">
                  <c:v>1790016</c:v>
                </c:pt>
              </c:numCache>
            </c:numRef>
          </c:val>
          <c:extLst>
            <c:ext xmlns:c16="http://schemas.microsoft.com/office/drawing/2014/chart" uri="{C3380CC4-5D6E-409C-BE32-E72D297353CC}">
              <c16:uniqueId val="{00000000-EBCC-4E46-800B-B3805AEEA465}"/>
            </c:ext>
          </c:extLst>
        </c:ser>
        <c:ser>
          <c:idx val="1"/>
          <c:order val="1"/>
          <c:tx>
            <c:strRef>
              <c:f>Dashboard!$C$3</c:f>
              <c:strCache>
                <c:ptCount val="1"/>
                <c:pt idx="0">
                  <c:v>Promedio de Precio_Unitario2</c:v>
                </c:pt>
              </c:strCache>
            </c:strRef>
          </c:tx>
          <c:spPr>
            <a:solidFill>
              <a:schemeClr val="accent2"/>
            </a:solidFill>
            <a:ln>
              <a:noFill/>
            </a:ln>
            <a:effectLst/>
          </c:spPr>
          <c:invertIfNegative val="0"/>
          <c:cat>
            <c:strRef>
              <c:f>Dashboard!$A$4:$A$9</c:f>
              <c:strCache>
                <c:ptCount val="5"/>
                <c:pt idx="0">
                  <c:v>Barranquilla</c:v>
                </c:pt>
                <c:pt idx="1">
                  <c:v>Bogotá</c:v>
                </c:pt>
                <c:pt idx="2">
                  <c:v>Cali</c:v>
                </c:pt>
                <c:pt idx="3">
                  <c:v>Cartagena</c:v>
                </c:pt>
                <c:pt idx="4">
                  <c:v>Medellín</c:v>
                </c:pt>
              </c:strCache>
            </c:strRef>
          </c:cat>
          <c:val>
            <c:numRef>
              <c:f>Dashboard!$C$4:$C$9</c:f>
              <c:numCache>
                <c:formatCode>"$"\ #,##0</c:formatCode>
                <c:ptCount val="5"/>
                <c:pt idx="0">
                  <c:v>438715.66666666669</c:v>
                </c:pt>
                <c:pt idx="1">
                  <c:v>441468.8</c:v>
                </c:pt>
                <c:pt idx="2">
                  <c:v>374164</c:v>
                </c:pt>
                <c:pt idx="3">
                  <c:v>376195</c:v>
                </c:pt>
                <c:pt idx="4">
                  <c:v>447504</c:v>
                </c:pt>
              </c:numCache>
            </c:numRef>
          </c:val>
          <c:extLst>
            <c:ext xmlns:c16="http://schemas.microsoft.com/office/drawing/2014/chart" uri="{C3380CC4-5D6E-409C-BE32-E72D297353CC}">
              <c16:uniqueId val="{00000000-D837-478B-9A6C-79D502588DD7}"/>
            </c:ext>
          </c:extLst>
        </c:ser>
        <c:dLbls>
          <c:showLegendKey val="0"/>
          <c:showVal val="0"/>
          <c:showCatName val="0"/>
          <c:showSerName val="0"/>
          <c:showPercent val="0"/>
          <c:showBubbleSize val="0"/>
        </c:dLbls>
        <c:gapWidth val="219"/>
        <c:overlap val="-27"/>
        <c:axId val="1343223472"/>
        <c:axId val="1256291840"/>
      </c:barChart>
      <c:catAx>
        <c:axId val="134322347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crossAx val="1256291840"/>
        <c:crosses val="autoZero"/>
        <c:auto val="1"/>
        <c:lblAlgn val="ctr"/>
        <c:lblOffset val="100"/>
        <c:noMultiLvlLbl val="0"/>
      </c:catAx>
      <c:valAx>
        <c:axId val="1256291840"/>
        <c:scaling>
          <c:orientation val="minMax"/>
        </c:scaling>
        <c:delete val="0"/>
        <c:axPos val="l"/>
        <c:majorGridlines>
          <c:spPr>
            <a:ln w="9525" cap="flat" cmpd="sng" algn="ctr">
              <a:solidFill>
                <a:schemeClr val="tx1">
                  <a:lumMod val="15000"/>
                  <a:lumOff val="85000"/>
                </a:schemeClr>
              </a:solidFill>
              <a:round/>
            </a:ln>
            <a:effectLst/>
          </c:spPr>
        </c:majorGridlines>
        <c:numFmt formatCode="&quot;$&quot;\ #,##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crossAx val="134322347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s-CO"/>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pivotSource>
    <c:name>[Entrega9_DashboardFinal_PrietoVargasJhonCamilo.xlsx]Dashboard!TablaDinámica2</c:name>
    <c:fmtId val="2"/>
  </c:pivotSource>
  <c:chart>
    <c:title>
      <c:tx>
        <c:rich>
          <a:bodyPr rot="0" spcFirstLastPara="1" vertOverflow="ellipsis" vert="horz" wrap="square" anchor="ctr" anchorCtr="1"/>
          <a:lstStyle/>
          <a:p>
            <a:pPr>
              <a:defRPr sz="1100" b="1" i="0" u="none" strike="noStrike" kern="1200" spc="0" baseline="0">
                <a:solidFill>
                  <a:schemeClr val="tx1">
                    <a:lumMod val="65000"/>
                    <a:lumOff val="35000"/>
                  </a:schemeClr>
                </a:solidFill>
                <a:latin typeface="Segoe UI" panose="020B0502040204020203" pitchFamily="34" charset="0"/>
                <a:ea typeface="+mn-ea"/>
                <a:cs typeface="Segoe UI" panose="020B0502040204020203" pitchFamily="34" charset="0"/>
              </a:defRPr>
            </a:pPr>
            <a:r>
              <a:rPr lang="es-CO" sz="1100" b="1" i="0" u="none" strike="noStrike" baseline="0">
                <a:latin typeface="Segoe UI" panose="020B0502040204020203" pitchFamily="34" charset="0"/>
                <a:cs typeface="Segoe UI" panose="020B0502040204020203" pitchFamily="34" charset="0"/>
              </a:rPr>
              <a:t>Electrónica lidera la participación con más del 70% de las ventas</a:t>
            </a:r>
            <a:endParaRPr lang="en-US" sz="1100" b="1">
              <a:latin typeface="Segoe UI" panose="020B0502040204020203" pitchFamily="34" charset="0"/>
              <a:cs typeface="Segoe UI" panose="020B0502040204020203" pitchFamily="34" charset="0"/>
            </a:endParaRPr>
          </a:p>
        </c:rich>
      </c:tx>
      <c:overlay val="0"/>
      <c:spPr>
        <a:noFill/>
        <a:ln>
          <a:noFill/>
        </a:ln>
        <a:effectLst/>
      </c:spPr>
      <c:txPr>
        <a:bodyPr rot="0" spcFirstLastPara="1" vertOverflow="ellipsis" vert="horz" wrap="square" anchor="ctr" anchorCtr="1"/>
        <a:lstStyle/>
        <a:p>
          <a:pPr>
            <a:defRPr sz="1100" b="1" i="0" u="none" strike="noStrike" kern="1200" spc="0" baseline="0">
              <a:solidFill>
                <a:schemeClr val="tx1">
                  <a:lumMod val="65000"/>
                  <a:lumOff val="35000"/>
                </a:schemeClr>
              </a:solidFill>
              <a:latin typeface="Segoe UI" panose="020B0502040204020203" pitchFamily="34" charset="0"/>
              <a:ea typeface="+mn-ea"/>
              <a:cs typeface="Segoe UI" panose="020B0502040204020203" pitchFamily="34" charset="0"/>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O"/>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O"/>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O"/>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pivotFmt>
    </c:pivotFmts>
    <c:plotArea>
      <c:layout/>
      <c:doughnutChart>
        <c:varyColors val="1"/>
        <c:ser>
          <c:idx val="0"/>
          <c:order val="0"/>
          <c:tx>
            <c:strRef>
              <c:f>Dashboard!$E$3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621F-475A-B079-90C800141E77}"/>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621F-475A-B079-90C800141E77}"/>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621F-475A-B079-90C800141E77}"/>
              </c:ext>
            </c:extLst>
          </c:dPt>
          <c:cat>
            <c:strRef>
              <c:f>Dashboard!$D$4:$D$5</c:f>
              <c:strCache>
                <c:ptCount val="1"/>
                <c:pt idx="0">
                  <c:v>Hogar</c:v>
                </c:pt>
              </c:strCache>
            </c:strRef>
          </c:cat>
          <c:val>
            <c:numRef>
              <c:f>Dashboard!$E$4:$E$5</c:f>
              <c:numCache>
                <c:formatCode>"$"\ #,##0</c:formatCode>
                <c:ptCount val="1"/>
                <c:pt idx="0">
                  <c:v>8647405</c:v>
                </c:pt>
              </c:numCache>
            </c:numRef>
          </c:val>
          <c:extLst>
            <c:ext xmlns:c16="http://schemas.microsoft.com/office/drawing/2014/chart" uri="{C3380CC4-5D6E-409C-BE32-E72D297353CC}">
              <c16:uniqueId val="{00000006-621F-475A-B079-90C800141E77}"/>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s-CO"/>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tx>
            <c:strRef>
              <c:f>Previsión!$B$1</c:f>
              <c:strCache>
                <c:ptCount val="1"/>
                <c:pt idx="0">
                  <c:v>Total_Mensual</c:v>
                </c:pt>
              </c:strCache>
            </c:strRef>
          </c:tx>
          <c:spPr>
            <a:solidFill>
              <a:schemeClr val="accent1"/>
            </a:solidFill>
            <a:ln w="12700">
              <a:solidFill>
                <a:srgbClr val="FFFFFF"/>
              </a:solidFill>
              <a:prstDash val="solid"/>
            </a:ln>
            <a:effectLst/>
          </c:spPr>
          <c:invertIfNegative val="0"/>
          <c:val>
            <c:numRef>
              <c:f>Previsión!$B$2:$B$17</c:f>
              <c:numCache>
                <c:formatCode>"$"\ #,##0</c:formatCode>
                <c:ptCount val="16"/>
                <c:pt idx="0">
                  <c:v>29282604</c:v>
                </c:pt>
                <c:pt idx="1">
                  <c:v>16709861</c:v>
                </c:pt>
                <c:pt idx="2">
                  <c:v>13354869</c:v>
                </c:pt>
                <c:pt idx="3">
                  <c:v>21947424</c:v>
                </c:pt>
                <c:pt idx="4">
                  <c:v>21195597</c:v>
                </c:pt>
                <c:pt idx="5">
                  <c:v>20347776</c:v>
                </c:pt>
                <c:pt idx="6">
                  <c:v>9593996</c:v>
                </c:pt>
                <c:pt idx="7">
                  <c:v>47002364</c:v>
                </c:pt>
                <c:pt idx="8">
                  <c:v>17428362</c:v>
                </c:pt>
                <c:pt idx="9">
                  <c:v>24804003</c:v>
                </c:pt>
                <c:pt idx="10">
                  <c:v>19503917</c:v>
                </c:pt>
                <c:pt idx="11">
                  <c:v>21019233</c:v>
                </c:pt>
              </c:numCache>
            </c:numRef>
          </c:val>
          <c:extLst>
            <c:ext xmlns:c16="http://schemas.microsoft.com/office/drawing/2014/chart" uri="{C3380CC4-5D6E-409C-BE32-E72D297353CC}">
              <c16:uniqueId val="{00000000-049F-4FF7-BB40-7C09A3D118D4}"/>
            </c:ext>
          </c:extLst>
        </c:ser>
        <c:ser>
          <c:idx val="1"/>
          <c:order val="1"/>
          <c:tx>
            <c:strRef>
              <c:f>Previsión!$C$1</c:f>
              <c:strCache>
                <c:ptCount val="1"/>
                <c:pt idx="0">
                  <c:v>Previsión(Total_Mensual)</c:v>
                </c:pt>
              </c:strCache>
            </c:strRef>
          </c:tx>
          <c:spPr>
            <a:solidFill>
              <a:schemeClr val="accent2"/>
            </a:solidFill>
            <a:ln w="12700">
              <a:solidFill>
                <a:srgbClr val="FFFFFF"/>
              </a:solidFill>
              <a:prstDash val="solid"/>
            </a:ln>
            <a:effectLst/>
          </c:spPr>
          <c:invertIfNegative val="0"/>
          <c:errBars>
            <c:errBarType val="both"/>
            <c:errValType val="cust"/>
            <c:noEndCap val="0"/>
            <c:plus>
              <c:numRef>
                <c:f>Previsión!$D$2:$D$17</c:f>
                <c:numCache>
                  <c:formatCode>General</c:formatCode>
                  <c:ptCount val="16"/>
                  <c:pt idx="12">
                    <c:v>21062715.116294648</c:v>
                  </c:pt>
                  <c:pt idx="13">
                    <c:v>21231895.931762457</c:v>
                  </c:pt>
                  <c:pt idx="14">
                    <c:v>21402382.32828423</c:v>
                  </c:pt>
                  <c:pt idx="15">
                    <c:v>21574163.917814035</c:v>
                  </c:pt>
                </c:numCache>
              </c:numRef>
            </c:plus>
            <c:minus>
              <c:numRef>
                <c:f>Previsión!$D$2:$D$17</c:f>
                <c:numCache>
                  <c:formatCode>General</c:formatCode>
                  <c:ptCount val="16"/>
                  <c:pt idx="12">
                    <c:v>21062715.116294648</c:v>
                  </c:pt>
                  <c:pt idx="13">
                    <c:v>21231895.931762457</c:v>
                  </c:pt>
                  <c:pt idx="14">
                    <c:v>21402382.32828423</c:v>
                  </c:pt>
                  <c:pt idx="15">
                    <c:v>21574163.917814035</c:v>
                  </c:pt>
                </c:numCache>
              </c:numRef>
            </c:minus>
            <c:spPr>
              <a:noFill/>
              <a:ln w="9525" cap="flat" cmpd="sng" algn="ctr">
                <a:solidFill>
                  <a:srgbClr val="595959">
                    <a:alpha val="40392"/>
                  </a:srgbClr>
                </a:solidFill>
                <a:prstDash val="solid"/>
                <a:round/>
              </a:ln>
              <a:effectLst/>
            </c:spPr>
          </c:errBars>
          <c:cat>
            <c:numRef>
              <c:f>Previsión!$A$2:$A$17</c:f>
              <c:numCache>
                <c:formatCode>m/d/yyyy</c:formatCode>
                <c:ptCount val="16"/>
                <c:pt idx="0">
                  <c:v>46023</c:v>
                </c:pt>
                <c:pt idx="1">
                  <c:v>46054</c:v>
                </c:pt>
                <c:pt idx="2">
                  <c:v>46082</c:v>
                </c:pt>
                <c:pt idx="3">
                  <c:v>46113</c:v>
                </c:pt>
                <c:pt idx="4">
                  <c:v>46143</c:v>
                </c:pt>
                <c:pt idx="5">
                  <c:v>46174</c:v>
                </c:pt>
                <c:pt idx="6">
                  <c:v>46204</c:v>
                </c:pt>
                <c:pt idx="7">
                  <c:v>46235</c:v>
                </c:pt>
                <c:pt idx="8">
                  <c:v>46266</c:v>
                </c:pt>
                <c:pt idx="9">
                  <c:v>46296</c:v>
                </c:pt>
                <c:pt idx="10">
                  <c:v>46327</c:v>
                </c:pt>
                <c:pt idx="11">
                  <c:v>46357</c:v>
                </c:pt>
                <c:pt idx="12">
                  <c:v>46388</c:v>
                </c:pt>
                <c:pt idx="13">
                  <c:v>46419</c:v>
                </c:pt>
                <c:pt idx="14">
                  <c:v>46447</c:v>
                </c:pt>
                <c:pt idx="15">
                  <c:v>46478</c:v>
                </c:pt>
              </c:numCache>
            </c:numRef>
          </c:cat>
          <c:val>
            <c:numRef>
              <c:f>Previsión!$C$2:$C$17</c:f>
              <c:numCache>
                <c:formatCode>General</c:formatCode>
                <c:ptCount val="16"/>
                <c:pt idx="12" formatCode="&quot;$&quot;\ #,##0">
                  <c:v>24588896.380580056</c:v>
                </c:pt>
                <c:pt idx="13" formatCode="&quot;$&quot;\ #,##0">
                  <c:v>24740016.70675604</c:v>
                </c:pt>
                <c:pt idx="14" formatCode="&quot;$&quot;\ #,##0">
                  <c:v>24891137.03293201</c:v>
                </c:pt>
                <c:pt idx="15" formatCode="&quot;$&quot;\ #,##0">
                  <c:v>25042257.359107994</c:v>
                </c:pt>
              </c:numCache>
            </c:numRef>
          </c:val>
          <c:extLst>
            <c:ext xmlns:c16="http://schemas.microsoft.com/office/drawing/2014/chart" uri="{C3380CC4-5D6E-409C-BE32-E72D297353CC}">
              <c16:uniqueId val="{00000001-049F-4FF7-BB40-7C09A3D118D4}"/>
            </c:ext>
          </c:extLst>
        </c:ser>
        <c:dLbls>
          <c:showLegendKey val="0"/>
          <c:showVal val="0"/>
          <c:showCatName val="0"/>
          <c:showSerName val="0"/>
          <c:showPercent val="0"/>
          <c:showBubbleSize val="0"/>
        </c:dLbls>
        <c:gapWidth val="0"/>
        <c:overlap val="100"/>
        <c:axId val="35953536"/>
        <c:axId val="1998111520"/>
      </c:barChart>
      <c:catAx>
        <c:axId val="35953536"/>
        <c:scaling>
          <c:orientation val="minMax"/>
        </c:scaling>
        <c:delete val="0"/>
        <c:axPos val="b"/>
        <c:majorTickMark val="none"/>
        <c:minorTickMark val="none"/>
        <c:tickLblPos val="low"/>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crossAx val="1998111520"/>
        <c:crosses val="autoZero"/>
        <c:auto val="1"/>
        <c:lblAlgn val="ctr"/>
        <c:lblOffset val="100"/>
        <c:noMultiLvlLbl val="0"/>
      </c:catAx>
      <c:valAx>
        <c:axId val="1998111520"/>
        <c:scaling>
          <c:orientation val="minMax"/>
        </c:scaling>
        <c:delete val="0"/>
        <c:axPos val="l"/>
        <c:majorGridlines>
          <c:spPr>
            <a:ln w="9525" cap="flat" cmpd="sng" algn="ctr">
              <a:solidFill>
                <a:schemeClr val="tx1">
                  <a:lumMod val="15000"/>
                  <a:lumOff val="85000"/>
                </a:schemeClr>
              </a:solidFill>
              <a:round/>
            </a:ln>
            <a:effectLst/>
          </c:spPr>
        </c:majorGridlines>
        <c:numFmt formatCode="&quot;$&quot;\ #,##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crossAx val="35953536"/>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s-CO"/>
    </a:p>
  </c:txPr>
  <c:printSettings>
    <c:headerFooter/>
    <c:pageMargins b="0.75" l="0.7" r="0.7" t="0.75" header="0.3" footer="0.3"/>
    <c:pageSetup/>
  </c:printSettings>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_xlchart.v1.0</cx:f>
      </cx:strDim>
      <cx:numDim type="val">
        <cx:f>_xlchart.v1.1</cx:f>
      </cx:numDim>
    </cx:data>
  </cx:chartData>
  <cx:chart>
    <cx:title pos="t" align="ctr" overlay="0">
      <cx:tx>
        <cx:txData>
          <cx:v>Composición del Margen: Los costos de ventas y logística reducen un 52% el margen bruto</cx:v>
        </cx:txData>
      </cx:tx>
      <cx:txPr>
        <a:bodyPr spcFirstLastPara="1" vertOverflow="ellipsis" horzOverflow="overflow" wrap="square" lIns="0" tIns="0" rIns="0" bIns="0" anchor="ctr" anchorCtr="1"/>
        <a:lstStyle/>
        <a:p>
          <a:pPr algn="ctr" rtl="0">
            <a:defRPr lang="es-ES" sz="1200" b="1" i="0" u="none" strike="noStrike" kern="1200" spc="0" baseline="0">
              <a:solidFill>
                <a:srgbClr val="000000">
                  <a:lumMod val="65000"/>
                  <a:lumOff val="35000"/>
                </a:srgbClr>
              </a:solidFill>
              <a:latin typeface="Segoe UI" panose="020B0502040204020203" pitchFamily="34" charset="0"/>
              <a:ea typeface="+mn-ea"/>
              <a:cs typeface="Segoe UI" panose="020B0502040204020203" pitchFamily="34" charset="0"/>
            </a:defRPr>
          </a:pPr>
          <a:r>
            <a:rPr lang="es-ES" sz="1200" b="1" i="0" u="none" strike="noStrike" kern="1200" spc="0" baseline="0">
              <a:solidFill>
                <a:srgbClr val="000000">
                  <a:lumMod val="65000"/>
                  <a:lumOff val="35000"/>
                </a:srgbClr>
              </a:solidFill>
              <a:latin typeface="Segoe UI" panose="020B0502040204020203" pitchFamily="34" charset="0"/>
              <a:ea typeface="+mn-ea"/>
              <a:cs typeface="Segoe UI" panose="020B0502040204020203" pitchFamily="34" charset="0"/>
            </a:rPr>
            <a:t>Composición del Margen: Los costos de ventas y logística reducen un 52% el margen bruto</a:t>
          </a:r>
        </a:p>
      </cx:txPr>
    </cx:title>
    <cx:plotArea>
      <cx:plotAreaRegion>
        <cx:series layoutId="waterfall" uniqueId="{00000000-A43B-4CAB-97C1-98A9BAA41E50}">
          <cx:dataLabels pos="outEnd">
            <cx:visibility seriesName="0" categoryName="0" value="1"/>
          </cx:dataLabels>
          <cx:dataId val="0"/>
          <cx:layoutPr>
            <cx:subtotals>
              <cx:idx val="4"/>
            </cx:subtotals>
          </cx:layoutPr>
        </cx:series>
      </cx:plotAreaRegion>
      <cx:axis id="0">
        <cx:catScaling gapWidth="0.5"/>
        <cx:tickLabels/>
      </cx:axis>
      <cx:axis id="1">
        <cx:valScaling/>
        <cx:majorGridlines/>
        <cx:tickLabels/>
      </cx:axis>
    </cx:plotArea>
    <cx:legend pos="t" align="ctr" overlay="0"/>
  </cx:chart>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95">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microsoft.com/office/2014/relationships/chartEx" Target="../charts/chartEx1.xml"/><Relationship Id="rId2" Type="http://schemas.openxmlformats.org/officeDocument/2006/relationships/chart" Target="../charts/chart2.xml"/><Relationship Id="rId1" Type="http://schemas.openxmlformats.org/officeDocument/2006/relationships/chart" Target="../charts/chart1.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5.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1</xdr:col>
      <xdr:colOff>0</xdr:colOff>
      <xdr:row>9</xdr:row>
      <xdr:rowOff>0</xdr:rowOff>
    </xdr:from>
    <xdr:to>
      <xdr:col>4</xdr:col>
      <xdr:colOff>990600</xdr:colOff>
      <xdr:row>22</xdr:row>
      <xdr:rowOff>19050</xdr:rowOff>
    </xdr:to>
    <xdr:graphicFrame macro="">
      <xdr:nvGraphicFramePr>
        <xdr:cNvPr id="2" name="Gráfico 1">
          <a:extLst>
            <a:ext uri="{FF2B5EF4-FFF2-40B4-BE49-F238E27FC236}">
              <a16:creationId xmlns:a16="http://schemas.microsoft.com/office/drawing/2014/main" id="{EB626F7B-2AC2-4FD4-988B-CF0912DA60D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0</xdr:colOff>
      <xdr:row>9</xdr:row>
      <xdr:rowOff>0</xdr:rowOff>
    </xdr:from>
    <xdr:to>
      <xdr:col>11</xdr:col>
      <xdr:colOff>0</xdr:colOff>
      <xdr:row>22</xdr:row>
      <xdr:rowOff>19050</xdr:rowOff>
    </xdr:to>
    <xdr:graphicFrame macro="">
      <xdr:nvGraphicFramePr>
        <xdr:cNvPr id="3" name="Gráfico 2">
          <a:extLst>
            <a:ext uri="{FF2B5EF4-FFF2-40B4-BE49-F238E27FC236}">
              <a16:creationId xmlns:a16="http://schemas.microsoft.com/office/drawing/2014/main" id="{3CE1C882-E9B2-4DFA-BAA5-8B140650840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xdr:col>
      <xdr:colOff>0</xdr:colOff>
      <xdr:row>24</xdr:row>
      <xdr:rowOff>0</xdr:rowOff>
    </xdr:from>
    <xdr:to>
      <xdr:col>4</xdr:col>
      <xdr:colOff>990600</xdr:colOff>
      <xdr:row>37</xdr:row>
      <xdr:rowOff>19050</xdr:rowOff>
    </xdr:to>
    <mc:AlternateContent xmlns:mc="http://schemas.openxmlformats.org/markup-compatibility/2006">
      <mc:Choice xmlns:cx1="http://schemas.microsoft.com/office/drawing/2015/9/8/chartex" Requires="cx1">
        <xdr:graphicFrame macro="">
          <xdr:nvGraphicFramePr>
            <xdr:cNvPr id="4" name="Gráfico 3">
              <a:extLst>
                <a:ext uri="{FF2B5EF4-FFF2-40B4-BE49-F238E27FC236}">
                  <a16:creationId xmlns:a16="http://schemas.microsoft.com/office/drawing/2014/main" id="{885AF77E-0485-4AD1-8678-337B8AA1700E}"/>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3"/>
            </a:graphicData>
          </a:graphic>
        </xdr:graphicFrame>
      </mc:Choice>
      <mc:Fallback>
        <xdr:sp macro="" textlink="">
          <xdr:nvSpPr>
            <xdr:cNvPr id="0" name=""/>
            <xdr:cNvSpPr>
              <a:spLocks noTextEdit="1"/>
            </xdr:cNvSpPr>
          </xdr:nvSpPr>
          <xdr:spPr>
            <a:xfrm>
              <a:off x="2124075" y="5267325"/>
              <a:ext cx="4572000" cy="2743200"/>
            </a:xfrm>
            <a:prstGeom prst="rect">
              <a:avLst/>
            </a:prstGeom>
            <a:solidFill>
              <a:prstClr val="white"/>
            </a:solidFill>
            <a:ln w="1">
              <a:solidFill>
                <a:prstClr val="green"/>
              </a:solidFill>
            </a:ln>
          </xdr:spPr>
          <xdr:txBody>
            <a:bodyPr vertOverflow="clip" horzOverflow="clip"/>
            <a:lstStyle/>
            <a:p>
              <a:r>
                <a:rPr lang="es-CO" sz="1100"/>
                <a:t>Este gráfico no está disponible en su versión de Excel.
Si edita esta forma o guarda el libro en un formato de archivo diferente, el gráfico no se podrá utilizar.</a:t>
              </a:r>
            </a:p>
          </xdr:txBody>
        </xdr:sp>
      </mc:Fallback>
    </mc:AlternateContent>
    <xdr:clientData/>
  </xdr:twoCellAnchor>
  <xdr:twoCellAnchor editAs="oneCell">
    <xdr:from>
      <xdr:col>0</xdr:col>
      <xdr:colOff>171450</xdr:colOff>
      <xdr:row>9</xdr:row>
      <xdr:rowOff>19051</xdr:rowOff>
    </xdr:from>
    <xdr:to>
      <xdr:col>0</xdr:col>
      <xdr:colOff>2000250</xdr:colOff>
      <xdr:row>16</xdr:row>
      <xdr:rowOff>1</xdr:rowOff>
    </xdr:to>
    <mc:AlternateContent xmlns:mc="http://schemas.openxmlformats.org/markup-compatibility/2006" xmlns:a14="http://schemas.microsoft.com/office/drawing/2010/main">
      <mc:Choice Requires="a14">
        <xdr:graphicFrame macro="">
          <xdr:nvGraphicFramePr>
            <xdr:cNvPr id="5" name="Fecha_Operacion 1">
              <a:extLst>
                <a:ext uri="{FF2B5EF4-FFF2-40B4-BE49-F238E27FC236}">
                  <a16:creationId xmlns:a16="http://schemas.microsoft.com/office/drawing/2014/main" id="{7BFE2365-C24B-086F-98AB-B13C5E7F8081}"/>
                </a:ext>
              </a:extLst>
            </xdr:cNvPr>
            <xdr:cNvGraphicFramePr/>
          </xdr:nvGraphicFramePr>
          <xdr:xfrm>
            <a:off x="0" y="0"/>
            <a:ext cx="0" cy="0"/>
          </xdr:xfrm>
          <a:graphic>
            <a:graphicData uri="http://schemas.microsoft.com/office/drawing/2010/slicer">
              <sle:slicer xmlns:sle="http://schemas.microsoft.com/office/drawing/2010/slicer" name="Fecha_Operacion 1"/>
            </a:graphicData>
          </a:graphic>
        </xdr:graphicFrame>
      </mc:Choice>
      <mc:Fallback xmlns="">
        <xdr:sp macro="" textlink="">
          <xdr:nvSpPr>
            <xdr:cNvPr id="0" name=""/>
            <xdr:cNvSpPr>
              <a:spLocks noTextEdit="1"/>
            </xdr:cNvSpPr>
          </xdr:nvSpPr>
          <xdr:spPr>
            <a:xfrm>
              <a:off x="171450" y="2143126"/>
              <a:ext cx="1828800" cy="1447800"/>
            </a:xfrm>
            <a:prstGeom prst="rect">
              <a:avLst/>
            </a:prstGeom>
            <a:solidFill>
              <a:prstClr val="white"/>
            </a:solidFill>
            <a:ln w="1">
              <a:solidFill>
                <a:prstClr val="green"/>
              </a:solidFill>
            </a:ln>
          </xdr:spPr>
          <xdr:txBody>
            <a:bodyPr vertOverflow="clip" horzOverflow="clip"/>
            <a:lstStyle/>
            <a:p>
              <a:r>
                <a:rPr lang="es-CO" sz="1100"/>
                <a:t>Esta forma representa una segmentación de datos. La segmentación de datos se admite en Excel 2010 y versiones posteriores.
Si la forma se modificó en una versión anterior de Excel o si el libro se guardó en Excel 2003 o una versión anterior, no se puede usar la segmentación de datos.</a:t>
              </a:r>
            </a:p>
          </xdr:txBody>
        </xdr:sp>
      </mc:Fallback>
    </mc:AlternateContent>
    <xdr:clientData/>
  </xdr:twoCellAnchor>
  <xdr:twoCellAnchor editAs="oneCell">
    <xdr:from>
      <xdr:col>0</xdr:col>
      <xdr:colOff>161925</xdr:colOff>
      <xdr:row>17</xdr:row>
      <xdr:rowOff>28576</xdr:rowOff>
    </xdr:from>
    <xdr:to>
      <xdr:col>0</xdr:col>
      <xdr:colOff>1990725</xdr:colOff>
      <xdr:row>24</xdr:row>
      <xdr:rowOff>9526</xdr:rowOff>
    </xdr:to>
    <mc:AlternateContent xmlns:mc="http://schemas.openxmlformats.org/markup-compatibility/2006" xmlns:a14="http://schemas.microsoft.com/office/drawing/2010/main">
      <mc:Choice Requires="a14">
        <xdr:graphicFrame macro="">
          <xdr:nvGraphicFramePr>
            <xdr:cNvPr id="6" name="Categoria">
              <a:extLst>
                <a:ext uri="{FF2B5EF4-FFF2-40B4-BE49-F238E27FC236}">
                  <a16:creationId xmlns:a16="http://schemas.microsoft.com/office/drawing/2014/main" id="{8044D061-16F4-7803-0D1F-2938736803F8}"/>
                </a:ext>
              </a:extLst>
            </xdr:cNvPr>
            <xdr:cNvGraphicFramePr/>
          </xdr:nvGraphicFramePr>
          <xdr:xfrm>
            <a:off x="0" y="0"/>
            <a:ext cx="0" cy="0"/>
          </xdr:xfrm>
          <a:graphic>
            <a:graphicData uri="http://schemas.microsoft.com/office/drawing/2010/slicer">
              <sle:slicer xmlns:sle="http://schemas.microsoft.com/office/drawing/2010/slicer" name="Categoria"/>
            </a:graphicData>
          </a:graphic>
        </xdr:graphicFrame>
      </mc:Choice>
      <mc:Fallback xmlns="">
        <xdr:sp macro="" textlink="">
          <xdr:nvSpPr>
            <xdr:cNvPr id="0" name=""/>
            <xdr:cNvSpPr>
              <a:spLocks noTextEdit="1"/>
            </xdr:cNvSpPr>
          </xdr:nvSpPr>
          <xdr:spPr>
            <a:xfrm>
              <a:off x="161925" y="3829051"/>
              <a:ext cx="1828800" cy="1447800"/>
            </a:xfrm>
            <a:prstGeom prst="rect">
              <a:avLst/>
            </a:prstGeom>
            <a:solidFill>
              <a:prstClr val="white"/>
            </a:solidFill>
            <a:ln w="1">
              <a:solidFill>
                <a:prstClr val="green"/>
              </a:solidFill>
            </a:ln>
          </xdr:spPr>
          <xdr:txBody>
            <a:bodyPr vertOverflow="clip" horzOverflow="clip"/>
            <a:lstStyle/>
            <a:p>
              <a:r>
                <a:rPr lang="es-CO" sz="1100"/>
                <a:t>Esta forma representa una segmentación de datos. La segmentación de datos se admite en Excel 2010 y versiones posteriores.
Si la forma se modificó en una versión anterior de Excel o si el libro se guardó en Excel 2003 o una versión anterior, no se puede usar la segmentación de datos.</a:t>
              </a:r>
            </a:p>
          </xdr:txBody>
        </xdr:sp>
      </mc:Fallback>
    </mc:AlternateContent>
    <xdr:clientData/>
  </xdr:twoCellAnchor>
  <xdr:twoCellAnchor editAs="oneCell">
    <xdr:from>
      <xdr:col>0</xdr:col>
      <xdr:colOff>152400</xdr:colOff>
      <xdr:row>25</xdr:row>
      <xdr:rowOff>9526</xdr:rowOff>
    </xdr:from>
    <xdr:to>
      <xdr:col>0</xdr:col>
      <xdr:colOff>1981200</xdr:colOff>
      <xdr:row>32</xdr:row>
      <xdr:rowOff>200026</xdr:rowOff>
    </xdr:to>
    <mc:AlternateContent xmlns:mc="http://schemas.openxmlformats.org/markup-compatibility/2006" xmlns:a14="http://schemas.microsoft.com/office/drawing/2010/main">
      <mc:Choice Requires="a14">
        <xdr:graphicFrame macro="">
          <xdr:nvGraphicFramePr>
            <xdr:cNvPr id="7" name="Region 1">
              <a:extLst>
                <a:ext uri="{FF2B5EF4-FFF2-40B4-BE49-F238E27FC236}">
                  <a16:creationId xmlns:a16="http://schemas.microsoft.com/office/drawing/2014/main" id="{7F6E3EB4-B56D-6747-D832-2F140924714E}"/>
                </a:ext>
              </a:extLst>
            </xdr:cNvPr>
            <xdr:cNvGraphicFramePr/>
          </xdr:nvGraphicFramePr>
          <xdr:xfrm>
            <a:off x="0" y="0"/>
            <a:ext cx="0" cy="0"/>
          </xdr:xfrm>
          <a:graphic>
            <a:graphicData uri="http://schemas.microsoft.com/office/drawing/2010/slicer">
              <sle:slicer xmlns:sle="http://schemas.microsoft.com/office/drawing/2010/slicer" name="Region 1"/>
            </a:graphicData>
          </a:graphic>
        </xdr:graphicFrame>
      </mc:Choice>
      <mc:Fallback xmlns="">
        <xdr:sp macro="" textlink="">
          <xdr:nvSpPr>
            <xdr:cNvPr id="0" name=""/>
            <xdr:cNvSpPr>
              <a:spLocks noTextEdit="1"/>
            </xdr:cNvSpPr>
          </xdr:nvSpPr>
          <xdr:spPr>
            <a:xfrm>
              <a:off x="152400" y="5486401"/>
              <a:ext cx="1828800" cy="1657350"/>
            </a:xfrm>
            <a:prstGeom prst="rect">
              <a:avLst/>
            </a:prstGeom>
            <a:solidFill>
              <a:prstClr val="white"/>
            </a:solidFill>
            <a:ln w="1">
              <a:solidFill>
                <a:prstClr val="green"/>
              </a:solidFill>
            </a:ln>
          </xdr:spPr>
          <xdr:txBody>
            <a:bodyPr vertOverflow="clip" horzOverflow="clip"/>
            <a:lstStyle/>
            <a:p>
              <a:r>
                <a:rPr lang="es-CO" sz="1100"/>
                <a:t>Esta forma representa una segmentación de datos. La segmentación de datos se admite en Excel 2010 y versiones posteriores.
Si la forma se modificó en una versión anterior de Excel o si el libro se guardó en Excel 2003 o una versión anterior, no se puede usar la segmentación de datos.</a:t>
              </a:r>
            </a:p>
          </xdr:txBody>
        </xdr:sp>
      </mc:Fallback>
    </mc:AlternateContent>
    <xdr:clientData/>
  </xdr:twoCellAnchor>
  <xdr:twoCellAnchor>
    <xdr:from>
      <xdr:col>5</xdr:col>
      <xdr:colOff>28575</xdr:colOff>
      <xdr:row>24</xdr:row>
      <xdr:rowOff>9525</xdr:rowOff>
    </xdr:from>
    <xdr:to>
      <xdr:col>9</xdr:col>
      <xdr:colOff>742950</xdr:colOff>
      <xdr:row>36</xdr:row>
      <xdr:rowOff>152400</xdr:rowOff>
    </xdr:to>
    <xdr:sp macro="" textlink="">
      <xdr:nvSpPr>
        <xdr:cNvPr id="8" name="CuadroTexto 7">
          <a:extLst>
            <a:ext uri="{FF2B5EF4-FFF2-40B4-BE49-F238E27FC236}">
              <a16:creationId xmlns:a16="http://schemas.microsoft.com/office/drawing/2014/main" id="{D1311A5B-1B47-AA41-731B-48057D1025B8}"/>
            </a:ext>
          </a:extLst>
        </xdr:cNvPr>
        <xdr:cNvSpPr txBox="1"/>
      </xdr:nvSpPr>
      <xdr:spPr>
        <a:xfrm>
          <a:off x="7105650" y="5276850"/>
          <a:ext cx="4152900" cy="265747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s-CO" b="1">
              <a:latin typeface="Segoe UI" panose="020B0502040204020203" pitchFamily="34" charset="0"/>
              <a:cs typeface="Segoe UI" panose="020B0502040204020203" pitchFamily="34" charset="0"/>
            </a:rPr>
            <a:t>NOTAS DE ANÁLISIS E INSIGHTS DE NEGOCIO</a:t>
          </a:r>
          <a:endParaRPr lang="es-CO">
            <a:latin typeface="Segoe UI" panose="020B0502040204020203" pitchFamily="34" charset="0"/>
            <a:cs typeface="Segoe UI" panose="020B0502040204020203" pitchFamily="34" charset="0"/>
          </a:endParaRPr>
        </a:p>
        <a:p>
          <a:pPr lvl="0"/>
          <a:r>
            <a:rPr lang="es-CO" b="1">
              <a:latin typeface="Segoe UI" panose="020B0502040204020203" pitchFamily="34" charset="0"/>
              <a:cs typeface="Segoe UI" panose="020B0502040204020203" pitchFamily="34" charset="0"/>
            </a:rPr>
            <a:t>Concentración Geográfica:</a:t>
          </a:r>
          <a:r>
            <a:rPr lang="es-CO">
              <a:latin typeface="Segoe UI" panose="020B0502040204020203" pitchFamily="34" charset="0"/>
              <a:cs typeface="Segoe UI" panose="020B0502040204020203" pitchFamily="34" charset="0"/>
            </a:rPr>
            <a:t> Bogotá y Medellín generan el 63% de los ingresos totales. Sin embargo, Cali representa una oportunidad subexplotada con margen unitario alto.</a:t>
          </a:r>
        </a:p>
        <a:p>
          <a:pPr lvl="0"/>
          <a:r>
            <a:rPr lang="es-CO" b="1">
              <a:latin typeface="Segoe UI" panose="020B0502040204020203" pitchFamily="34" charset="0"/>
              <a:cs typeface="Segoe UI" panose="020B0502040204020203" pitchFamily="34" charset="0"/>
            </a:rPr>
            <a:t>Estructura del Portafolio:</a:t>
          </a:r>
          <a:r>
            <a:rPr lang="es-CO">
              <a:latin typeface="Segoe UI" panose="020B0502040204020203" pitchFamily="34" charset="0"/>
              <a:cs typeface="Segoe UI" panose="020B0502040204020203" pitchFamily="34" charset="0"/>
            </a:rPr>
            <a:t> Electrónica sostiene el 70,7% de la facturación ($29,8M). Línea Blanca registra la menor rotación ($3,6M).</a:t>
          </a:r>
        </a:p>
        <a:p>
          <a:pPr lvl="0"/>
          <a:r>
            <a:rPr lang="es-CO" b="1">
              <a:latin typeface="Segoe UI" panose="020B0502040204020203" pitchFamily="34" charset="0"/>
              <a:cs typeface="Segoe UI" panose="020B0502040204020203" pitchFamily="34" charset="0"/>
            </a:rPr>
            <a:t>Hallazgo Auditado por IA (Abogado del Diablo):</a:t>
          </a:r>
          <a:r>
            <a:rPr lang="es-CO">
              <a:latin typeface="Segoe UI" panose="020B0502040204020203" pitchFamily="34" charset="0"/>
              <a:cs typeface="Segoe UI" panose="020B0502040204020203" pitchFamily="34" charset="0"/>
            </a:rPr>
            <a:t> Aunque la categoría Electrónica lidera en ingresos, el análisis de sensibilidad revela un sesgo de volumen: sus costos logísticos y de reposición absorben un 52% del margen bruto. Se recomienda diversificar proveedores en Línea Blanca para mejorar la rentabilidad neta global.</a:t>
          </a:r>
        </a:p>
        <a:p>
          <a:endParaRPr lang="es-CO" sz="1100"/>
        </a:p>
      </xdr:txBody>
    </xdr:sp>
    <xdr:clientData/>
  </xdr:twoCellAnchor>
</xdr:wsDr>
</file>

<file path=xl/drawings/drawing2.xml><?xml version="1.0" encoding="utf-8"?>
<xdr:wsDr xmlns:xdr="http://schemas.openxmlformats.org/drawingml/2006/spreadsheetDrawing" xmlns:a="http://schemas.openxmlformats.org/drawingml/2006/main">
  <xdr:twoCellAnchor editAs="oneCell">
    <xdr:from>
      <xdr:col>2</xdr:col>
      <xdr:colOff>304800</xdr:colOff>
      <xdr:row>13</xdr:row>
      <xdr:rowOff>114300</xdr:rowOff>
    </xdr:from>
    <xdr:to>
      <xdr:col>3</xdr:col>
      <xdr:colOff>257175</xdr:colOff>
      <xdr:row>26</xdr:row>
      <xdr:rowOff>161925</xdr:rowOff>
    </xdr:to>
    <mc:AlternateContent xmlns:mc="http://schemas.openxmlformats.org/markup-compatibility/2006">
      <mc:Choice xmlns:a14="http://schemas.microsoft.com/office/drawing/2010/main" Requires="a14">
        <xdr:graphicFrame macro="">
          <xdr:nvGraphicFramePr>
            <xdr:cNvPr id="4" name="Region">
              <a:extLst>
                <a:ext uri="{FF2B5EF4-FFF2-40B4-BE49-F238E27FC236}">
                  <a16:creationId xmlns:a16="http://schemas.microsoft.com/office/drawing/2014/main" id="{E8E05F8F-7016-86D5-B426-4B6903F81F2E}"/>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3019425" y="2590800"/>
              <a:ext cx="1828800" cy="2524125"/>
            </a:xfrm>
            <a:prstGeom prst="rect">
              <a:avLst/>
            </a:prstGeom>
            <a:solidFill>
              <a:prstClr val="white"/>
            </a:solidFill>
            <a:ln w="1">
              <a:solidFill>
                <a:prstClr val="green"/>
              </a:solidFill>
            </a:ln>
          </xdr:spPr>
          <xdr:txBody>
            <a:bodyPr vertOverflow="clip" horzOverflow="clip"/>
            <a:lstStyle/>
            <a:p>
              <a:r>
                <a:rPr lang="es-CO" sz="1100"/>
                <a:t>Esta forma representa una segmentación de datos. La segmentación de datos se admite en Excel 2010 y versiones posteriores.
Si la forma se modificó en una versión anterior de Excel o si el libro se guardó en Excel 2003 o una versión anterior, no se puede usar la segmentación de datos.</a:t>
              </a:r>
            </a:p>
          </xdr:txBody>
        </xdr:sp>
      </mc:Fallback>
    </mc:AlternateContent>
    <xdr:clientData/>
  </xdr:twoCellAnchor>
  <xdr:twoCellAnchor editAs="oneCell">
    <xdr:from>
      <xdr:col>3</xdr:col>
      <xdr:colOff>533400</xdr:colOff>
      <xdr:row>13</xdr:row>
      <xdr:rowOff>85725</xdr:rowOff>
    </xdr:from>
    <xdr:to>
      <xdr:col>4</xdr:col>
      <xdr:colOff>1190625</xdr:colOff>
      <xdr:row>26</xdr:row>
      <xdr:rowOff>133350</xdr:rowOff>
    </xdr:to>
    <mc:AlternateContent xmlns:mc="http://schemas.openxmlformats.org/markup-compatibility/2006">
      <mc:Choice xmlns:a14="http://schemas.microsoft.com/office/drawing/2010/main" Requires="a14">
        <xdr:graphicFrame macro="">
          <xdr:nvGraphicFramePr>
            <xdr:cNvPr id="5" name="Fecha_Operacion">
              <a:extLst>
                <a:ext uri="{FF2B5EF4-FFF2-40B4-BE49-F238E27FC236}">
                  <a16:creationId xmlns:a16="http://schemas.microsoft.com/office/drawing/2014/main" id="{9FB51119-5676-0590-39D5-184FD35D4B5E}"/>
                </a:ext>
              </a:extLst>
            </xdr:cNvPr>
            <xdr:cNvGraphicFramePr/>
          </xdr:nvGraphicFramePr>
          <xdr:xfrm>
            <a:off x="0" y="0"/>
            <a:ext cx="0" cy="0"/>
          </xdr:xfrm>
          <a:graphic>
            <a:graphicData uri="http://schemas.microsoft.com/office/drawing/2010/slicer">
              <sle:slicer xmlns:sle="http://schemas.microsoft.com/office/drawing/2010/slicer" name="Fecha_Operacion"/>
            </a:graphicData>
          </a:graphic>
        </xdr:graphicFrame>
      </mc:Choice>
      <mc:Fallback>
        <xdr:sp macro="" textlink="">
          <xdr:nvSpPr>
            <xdr:cNvPr id="0" name=""/>
            <xdr:cNvSpPr>
              <a:spLocks noTextEdit="1"/>
            </xdr:cNvSpPr>
          </xdr:nvSpPr>
          <xdr:spPr>
            <a:xfrm>
              <a:off x="5124450" y="2562225"/>
              <a:ext cx="1828800" cy="2524125"/>
            </a:xfrm>
            <a:prstGeom prst="rect">
              <a:avLst/>
            </a:prstGeom>
            <a:solidFill>
              <a:prstClr val="white"/>
            </a:solidFill>
            <a:ln w="1">
              <a:solidFill>
                <a:prstClr val="green"/>
              </a:solidFill>
            </a:ln>
          </xdr:spPr>
          <xdr:txBody>
            <a:bodyPr vertOverflow="clip" horzOverflow="clip"/>
            <a:lstStyle/>
            <a:p>
              <a:r>
                <a:rPr lang="es-CO" sz="1100"/>
                <a:t>Esta forma representa una segmentación de datos. La segmentación de datos se admite en Excel 2010 y versiones posteriores.
Si la forma se modificó en una versión anterior de Excel o si el libro se guardó en Excel 2003 o una versión anterior, no se puede usar la segmentación de datos.</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xdr:from>
      <xdr:col>6</xdr:col>
      <xdr:colOff>723900</xdr:colOff>
      <xdr:row>1</xdr:row>
      <xdr:rowOff>142875</xdr:rowOff>
    </xdr:from>
    <xdr:to>
      <xdr:col>15</xdr:col>
      <xdr:colOff>0</xdr:colOff>
      <xdr:row>17</xdr:row>
      <xdr:rowOff>28575</xdr:rowOff>
    </xdr:to>
    <xdr:graphicFrame macro="">
      <xdr:nvGraphicFramePr>
        <xdr:cNvPr id="2" name="Gráfico 1">
          <a:extLst>
            <a:ext uri="{FF2B5EF4-FFF2-40B4-BE49-F238E27FC236}">
              <a16:creationId xmlns:a16="http://schemas.microsoft.com/office/drawing/2014/main" id="{AEB3EB5D-9439-D693-6710-F3D92B521C1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2</xdr:col>
      <xdr:colOff>9525</xdr:colOff>
      <xdr:row>0</xdr:row>
      <xdr:rowOff>190499</xdr:rowOff>
    </xdr:from>
    <xdr:to>
      <xdr:col>14</xdr:col>
      <xdr:colOff>9525</xdr:colOff>
      <xdr:row>21</xdr:row>
      <xdr:rowOff>38100</xdr:rowOff>
    </xdr:to>
    <xdr:sp macro="" textlink="">
      <xdr:nvSpPr>
        <xdr:cNvPr id="2" name="CuadroTexto 1">
          <a:extLst>
            <a:ext uri="{FF2B5EF4-FFF2-40B4-BE49-F238E27FC236}">
              <a16:creationId xmlns:a16="http://schemas.microsoft.com/office/drawing/2014/main" id="{DE5C7647-FDD1-BC38-E5DB-50A342AF5A03}"/>
            </a:ext>
          </a:extLst>
        </xdr:cNvPr>
        <xdr:cNvSpPr txBox="1"/>
      </xdr:nvSpPr>
      <xdr:spPr>
        <a:xfrm>
          <a:off x="1533525" y="190499"/>
          <a:ext cx="9144000" cy="3848101"/>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rtl="0"/>
          <a:r>
            <a:rPr lang="es-CO" sz="1200" b="1">
              <a:latin typeface="Arial" panose="020B0604020202020204" pitchFamily="34" charset="0"/>
              <a:cs typeface="Arial" panose="020B0604020202020204" pitchFamily="34" charset="0"/>
            </a:rPr>
            <a:t>Reporte de Insights de Negocio</a:t>
          </a:r>
        </a:p>
        <a:p>
          <a:pPr rtl="0"/>
          <a:endParaRPr lang="es-CO" sz="1200">
            <a:latin typeface="Arial" panose="020B0604020202020204" pitchFamily="34" charset="0"/>
            <a:cs typeface="Arial" panose="020B0604020202020204" pitchFamily="34" charset="0"/>
          </a:endParaRPr>
        </a:p>
        <a:p>
          <a:pPr rtl="0"/>
          <a:r>
            <a:rPr lang="es-CO" sz="1200" b="1">
              <a:latin typeface="Arial" panose="020B0604020202020204" pitchFamily="34" charset="0"/>
              <a:cs typeface="Arial" panose="020B0604020202020204" pitchFamily="34" charset="0"/>
            </a:rPr>
            <a:t>Evidencia:</a:t>
          </a:r>
          <a:r>
            <a:rPr lang="es-CO" sz="1200">
              <a:latin typeface="Arial" panose="020B0604020202020204" pitchFamily="34" charset="0"/>
              <a:cs typeface="Arial" panose="020B0604020202020204" pitchFamily="34" charset="0"/>
            </a:rPr>
            <a:t> En julio de 2026 la facturación total cayó a $9,6 millones, el mes más bajo del año y un 56% por debajo del promedio mensual (~$21,8M). Al mes siguiente, agosto registró $47 millones, más del doble de ese promedio y el pico más alto del año. Ningún otro mes del período muestra una variación tan pronunciada de un mes a otro.</a:t>
          </a:r>
        </a:p>
        <a:p>
          <a:pPr rtl="0"/>
          <a:endParaRPr lang="es-CO" sz="1200">
            <a:latin typeface="Arial" panose="020B0604020202020204" pitchFamily="34" charset="0"/>
            <a:cs typeface="Arial" panose="020B0604020202020204" pitchFamily="34" charset="0"/>
          </a:endParaRPr>
        </a:p>
        <a:p>
          <a:pPr rtl="0"/>
          <a:r>
            <a:rPr lang="es-CO" sz="1200" b="1">
              <a:latin typeface="Arial" panose="020B0604020202020204" pitchFamily="34" charset="0"/>
              <a:cs typeface="Arial" panose="020B0604020202020204" pitchFamily="34" charset="0"/>
            </a:rPr>
            <a:t>Significado:</a:t>
          </a:r>
          <a:r>
            <a:rPr lang="es-CO" sz="1200">
              <a:latin typeface="Arial" panose="020B0604020202020204" pitchFamily="34" charset="0"/>
              <a:cs typeface="Arial" panose="020B0604020202020204" pitchFamily="34" charset="0"/>
            </a:rPr>
            <a:t> Este patrón de caída abrupta seguida de un repunte extremo no es ruido estadístico: sugiere que la demanda de julio no desapareció, sino que se represó. Dado que la categoría Electrónica concentra el 74% de la facturación total del negocio, es probable que un quiebre de stock o un retraso logístico en productos clave haya frenado las ventas en julio, y que esa demanda contenida se haya liberado de golpe en agosto (posiblemente coincidiendo con reposición de inventario o una campaña comercial).</a:t>
          </a:r>
        </a:p>
        <a:p>
          <a:pPr rtl="0"/>
          <a:endParaRPr lang="es-CO" sz="1200">
            <a:latin typeface="Arial" panose="020B0604020202020204" pitchFamily="34" charset="0"/>
            <a:cs typeface="Arial" panose="020B0604020202020204" pitchFamily="34" charset="0"/>
          </a:endParaRPr>
        </a:p>
        <a:p>
          <a:pPr rtl="0"/>
          <a:r>
            <a:rPr lang="es-CO" sz="1200" b="1">
              <a:latin typeface="Arial" panose="020B0604020202020204" pitchFamily="34" charset="0"/>
              <a:cs typeface="Arial" panose="020B0604020202020204" pitchFamily="34" charset="0"/>
            </a:rPr>
            <a:t>Impacto:</a:t>
          </a:r>
          <a:r>
            <a:rPr lang="es-CO" sz="1200">
              <a:latin typeface="Arial" panose="020B0604020202020204" pitchFamily="34" charset="0"/>
              <a:cs typeface="Arial" panose="020B0604020202020204" pitchFamily="34" charset="0"/>
            </a:rPr>
            <a:t> Si este patrón se repite sin intervención, la empresa queda expuesta a dos riesgos simultáneos: pérdida de ventas y de clientes durante los meses de desabastecimiento (participación de mercado cedida a la competencia en ese período), y sobrecarga operativa y de capital de trabajo en los meses de repunte, al tener que absorber una demanda concentrada en pocas semanas. Además, la variabilidad extrema dificulta la planeación de compras y de flujo de caja.</a:t>
          </a:r>
        </a:p>
        <a:p>
          <a:pPr rtl="0"/>
          <a:endParaRPr lang="es-CO" sz="1200">
            <a:latin typeface="Arial" panose="020B0604020202020204" pitchFamily="34" charset="0"/>
            <a:cs typeface="Arial" panose="020B0604020202020204" pitchFamily="34" charset="0"/>
          </a:endParaRPr>
        </a:p>
        <a:p>
          <a:pPr rtl="0"/>
          <a:r>
            <a:rPr lang="es-CO" sz="1200" b="1">
              <a:latin typeface="Arial" panose="020B0604020202020204" pitchFamily="34" charset="0"/>
              <a:cs typeface="Arial" panose="020B0604020202020204" pitchFamily="34" charset="0"/>
            </a:rPr>
            <a:t>Acción:</a:t>
          </a:r>
          <a:r>
            <a:rPr lang="es-CO" sz="1200">
              <a:latin typeface="Arial" panose="020B0604020202020204" pitchFamily="34" charset="0"/>
              <a:cs typeface="Arial" panose="020B0604020202020204" pitchFamily="34" charset="0"/>
            </a:rPr>
            <a:t> Se recomienda revisar la cadena de abastecimiento de la categoría Electrónica con foco en el trimestre de mitad de año, estableciendo un nivel mínimo de inventario de seguridad para los productos de mayor rotación. En paralelo, suavizar la demanda mediante promociones anticipadas o programadas en lugar de dejar que se acumule, para distribuir la facturación de forma más estable a lo largo del año y reducir el riesgo de quiebres de stock.</a:t>
          </a:r>
        </a:p>
        <a:p>
          <a:endParaRPr lang="es-CO" sz="1100"/>
        </a:p>
      </xdr:txBody>
    </xdr:sp>
    <xdr:clientData/>
  </xdr:twoCellAnchor>
</xdr:wsDr>
</file>

<file path=xl/drawings/drawing5.xml><?xml version="1.0" encoding="utf-8"?>
<xdr:wsDr xmlns:xdr="http://schemas.openxmlformats.org/drawingml/2006/spreadsheetDrawing" xmlns:a="http://schemas.openxmlformats.org/drawingml/2006/main">
  <xdr:twoCellAnchor editAs="oneCell">
    <xdr:from>
      <xdr:col>4</xdr:col>
      <xdr:colOff>0</xdr:colOff>
      <xdr:row>0</xdr:row>
      <xdr:rowOff>0</xdr:rowOff>
    </xdr:from>
    <xdr:to>
      <xdr:col>9</xdr:col>
      <xdr:colOff>505427</xdr:colOff>
      <xdr:row>8</xdr:row>
      <xdr:rowOff>76423</xdr:rowOff>
    </xdr:to>
    <xdr:pic>
      <xdr:nvPicPr>
        <xdr:cNvPr id="2" name="Imagen 1">
          <a:extLst>
            <a:ext uri="{FF2B5EF4-FFF2-40B4-BE49-F238E27FC236}">
              <a16:creationId xmlns:a16="http://schemas.microsoft.com/office/drawing/2014/main" id="{04EF5914-EA6C-A548-9821-D1A09B79C96C}"/>
            </a:ext>
          </a:extLst>
        </xdr:cNvPr>
        <xdr:cNvPicPr>
          <a:picLocks noChangeAspect="1"/>
        </xdr:cNvPicPr>
      </xdr:nvPicPr>
      <xdr:blipFill>
        <a:blip xmlns:r="http://schemas.openxmlformats.org/officeDocument/2006/relationships" r:embed="rId1"/>
        <a:stretch>
          <a:fillRect/>
        </a:stretch>
      </xdr:blipFill>
      <xdr:spPr>
        <a:xfrm>
          <a:off x="4114800" y="0"/>
          <a:ext cx="4315427" cy="1600423"/>
        </a:xfrm>
        <a:prstGeom prst="rect">
          <a:avLst/>
        </a:prstGeom>
      </xdr:spPr>
    </xdr:pic>
    <xdr:clientData/>
  </xdr:twoCellAnchor>
  <xdr:twoCellAnchor>
    <xdr:from>
      <xdr:col>3</xdr:col>
      <xdr:colOff>752475</xdr:colOff>
      <xdr:row>8</xdr:row>
      <xdr:rowOff>152400</xdr:rowOff>
    </xdr:from>
    <xdr:to>
      <xdr:col>9</xdr:col>
      <xdr:colOff>514350</xdr:colOff>
      <xdr:row>15</xdr:row>
      <xdr:rowOff>104775</xdr:rowOff>
    </xdr:to>
    <xdr:sp macro="" textlink="">
      <xdr:nvSpPr>
        <xdr:cNvPr id="3" name="CuadroTexto 2">
          <a:extLst>
            <a:ext uri="{FF2B5EF4-FFF2-40B4-BE49-F238E27FC236}">
              <a16:creationId xmlns:a16="http://schemas.microsoft.com/office/drawing/2014/main" id="{38B65CD8-CCA6-9955-7A17-A84A3413B2AA}"/>
            </a:ext>
          </a:extLst>
        </xdr:cNvPr>
        <xdr:cNvSpPr txBox="1"/>
      </xdr:nvSpPr>
      <xdr:spPr>
        <a:xfrm>
          <a:off x="4105275" y="1676400"/>
          <a:ext cx="4333875" cy="128587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s-CO"/>
            <a:t>La fórmula de B7 (=SUMA(B3:B6)) presenta un error de referencia desalineada: excluye el valor de Enero (B2 = $4.266.240) e incluye por error la celda vacía B6. Usando Rastrear Precedentes se identifica visualmente que las flechas azules no cubren el rango correcto (B2:B5), evidenciando que el total mostrado ($8.276.704) es menor al real ($12.542.944, la suma de los 4 meses). La corrección sería =SUMA(B2:B5).</a:t>
          </a:r>
          <a:endParaRPr lang="es-CO" sz="1100"/>
        </a:p>
      </xdr:txBody>
    </xdr:sp>
    <xdr:clientData/>
  </xdr:twoCellAnchor>
</xdr:wsDr>
</file>

<file path=xl/persons/person.xml><?xml version="1.0" encoding="utf-8"?>
<personList xmlns="http://schemas.microsoft.com/office/spreadsheetml/2018/threadedcomments" xmlns:x="http://schemas.openxmlformats.org/spreadsheetml/2006/main">
  <person displayName="Jhon Camilo Prieto Vargas" id="{E2459C94-37A9-4BFA-B303-170D35ABC62F}" userId="S::jprietov3@soy.sena.edu.co::b1f315b9-c2a2-494d-ac2a-e6afe44eaad8" providerId="AD"/>
</personList>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Kmilo Prieto" refreshedDate="46266.927091666665" createdVersion="8" refreshedVersion="8" minRefreshableVersion="3" recordCount="100" xr:uid="{01D7269B-E174-4A80-97BD-156B7FE85815}">
  <cacheSource type="worksheet">
    <worksheetSource name="Tabla1"/>
  </cacheSource>
  <cacheFields count="10">
    <cacheField name="ID_Transaccion" numFmtId="0">
      <sharedItems/>
    </cacheField>
    <cacheField name="Fecha_Operacion" numFmtId="14">
      <sharedItems containsSemiMixedTypes="0" containsNonDate="0" containsDate="1" containsString="0" minDate="2026-01-01T00:00:00" maxDate="2026-12-27T00:00:00" count="94">
        <d v="2026-10-29T00:00:00"/>
        <d v="2026-07-14T00:00:00"/>
        <d v="2026-02-10T00:00:00"/>
        <d v="2026-04-30T00:00:00"/>
        <d v="2026-11-28T00:00:00"/>
        <d v="2026-12-19T00:00:00"/>
        <d v="2026-10-18T00:00:00"/>
        <d v="2026-10-27T00:00:00"/>
        <d v="2026-03-23T00:00:00"/>
        <d v="2026-12-15T00:00:00"/>
        <d v="2026-05-15T00:00:00"/>
        <d v="2026-09-29T00:00:00"/>
        <d v="2026-09-06T00:00:00"/>
        <d v="2026-10-04T00:00:00"/>
        <d v="2026-02-02T00:00:00"/>
        <d v="2026-06-19T00:00:00"/>
        <d v="2026-08-31T00:00:00"/>
        <d v="2026-11-27T00:00:00"/>
        <d v="2026-08-25T00:00:00"/>
        <d v="2026-05-02T00:00:00"/>
        <d v="2026-08-21T00:00:00"/>
        <d v="2026-01-30T00:00:00"/>
        <d v="2026-11-01T00:00:00"/>
        <d v="2026-10-17T00:00:00"/>
        <d v="2026-02-07T00:00:00"/>
        <d v="2026-02-05T00:00:00"/>
        <d v="2026-12-08T00:00:00"/>
        <d v="2026-04-18T00:00:00"/>
        <d v="2026-05-22T00:00:00"/>
        <d v="2026-01-05T00:00:00"/>
        <d v="2026-01-22T00:00:00"/>
        <d v="2026-07-28T00:00:00"/>
        <d v="2026-12-09T00:00:00"/>
        <d v="2026-08-24T00:00:00"/>
        <d v="2026-05-23T00:00:00"/>
        <d v="2026-04-02T00:00:00"/>
        <d v="2026-04-08T00:00:00"/>
        <d v="2026-07-06T00:00:00"/>
        <d v="2026-11-12T00:00:00"/>
        <d v="2026-08-15T00:00:00"/>
        <d v="2026-02-17T00:00:00"/>
        <d v="2026-08-01T00:00:00"/>
        <d v="2026-08-06T00:00:00"/>
        <d v="2026-08-26T00:00:00"/>
        <d v="2026-09-01T00:00:00"/>
        <d v="2026-08-14T00:00:00"/>
        <d v="2026-12-23T00:00:00"/>
        <d v="2026-08-03T00:00:00"/>
        <d v="2026-08-28T00:00:00"/>
        <d v="2026-04-04T00:00:00"/>
        <d v="2026-08-04T00:00:00"/>
        <d v="2026-01-21T00:00:00"/>
        <d v="2026-12-25T00:00:00"/>
        <d v="2026-02-25T00:00:00"/>
        <d v="2026-11-18T00:00:00"/>
        <d v="2026-07-05T00:00:00"/>
        <d v="2026-10-31T00:00:00"/>
        <d v="2026-11-09T00:00:00"/>
        <d v="2026-12-26T00:00:00"/>
        <d v="2026-12-20T00:00:00"/>
        <d v="2026-10-11T00:00:00"/>
        <d v="2026-06-11T00:00:00"/>
        <d v="2026-09-26T00:00:00"/>
        <d v="2026-01-28T00:00:00"/>
        <d v="2026-01-27T00:00:00"/>
        <d v="2026-06-05T00:00:00"/>
        <d v="2026-08-19T00:00:00"/>
        <d v="2026-04-17T00:00:00"/>
        <d v="2026-05-30T00:00:00"/>
        <d v="2026-12-05T00:00:00"/>
        <d v="2026-06-07T00:00:00"/>
        <d v="2026-02-11T00:00:00"/>
        <d v="2026-01-11T00:00:00"/>
        <d v="2026-11-22T00:00:00"/>
        <d v="2026-12-06T00:00:00"/>
        <d v="2026-01-01T00:00:00"/>
        <d v="2026-03-09T00:00:00"/>
        <d v="2026-10-10T00:00:00"/>
        <d v="2026-09-18T00:00:00"/>
        <d v="2026-05-25T00:00:00"/>
        <d v="2026-08-22T00:00:00"/>
        <d v="2026-02-21T00:00:00"/>
        <d v="2026-05-16T00:00:00"/>
        <d v="2026-09-07T00:00:00"/>
        <d v="2026-11-21T00:00:00"/>
        <d v="2026-05-06T00:00:00"/>
        <d v="2026-10-26T00:00:00"/>
        <d v="2026-03-22T00:00:00"/>
        <d v="2026-06-04T00:00:00"/>
        <d v="2026-12-04T00:00:00"/>
        <d v="2026-05-27T00:00:00"/>
        <d v="2026-03-12T00:00:00"/>
        <d v="2026-09-04T00:00:00"/>
        <d v="2026-12-12T00:00:00"/>
      </sharedItems>
      <fieldGroup par="9"/>
    </cacheField>
    <cacheField name="ID_Cliente_Ref" numFmtId="0">
      <sharedItems/>
    </cacheField>
    <cacheField name="SKU_Codigo_Ref" numFmtId="0">
      <sharedItems/>
    </cacheField>
    <cacheField name="Cantidad" numFmtId="0">
      <sharedItems containsSemiMixedTypes="0" containsString="0" containsNumber="1" containsInteger="1" minValue="1" maxValue="12"/>
    </cacheField>
    <cacheField name="Precio_Unitario" numFmtId="164">
      <sharedItems containsSemiMixedTypes="0" containsString="0" containsNumber="1" containsInteger="1" minValue="52540" maxValue="848013"/>
    </cacheField>
    <cacheField name="Categoria" numFmtId="0">
      <sharedItems count="3">
        <s v="Electrónica"/>
        <s v="Hogar"/>
        <s v="Linea blanca"/>
      </sharedItems>
    </cacheField>
    <cacheField name="Region" numFmtId="0">
      <sharedItems count="5">
        <s v="Cali"/>
        <s v="Bogotá"/>
        <s v="Barranquilla"/>
        <s v="Medellín"/>
        <s v="Cartagena"/>
      </sharedItems>
    </cacheField>
    <cacheField name="Días (Fecha_Operacion)" numFmtId="0" databaseField="0">
      <fieldGroup base="1">
        <rangePr groupBy="days" startDate="2026-01-01T00:00:00" endDate="2026-12-27T00:00:00"/>
        <groupItems count="368">
          <s v="&lt;1/01/2026"/>
          <s v="1-ene"/>
          <s v="2-ene"/>
          <s v="3-ene"/>
          <s v="4-ene"/>
          <s v="5-ene"/>
          <s v="6-ene"/>
          <s v="7-ene"/>
          <s v="8-ene"/>
          <s v="9-ene"/>
          <s v="10-ene"/>
          <s v="11-ene"/>
          <s v="12-ene"/>
          <s v="13-ene"/>
          <s v="14-ene"/>
          <s v="15-ene"/>
          <s v="16-ene"/>
          <s v="17-ene"/>
          <s v="18-ene"/>
          <s v="19-ene"/>
          <s v="20-ene"/>
          <s v="21-ene"/>
          <s v="22-ene"/>
          <s v="23-ene"/>
          <s v="24-ene"/>
          <s v="25-ene"/>
          <s v="26-ene"/>
          <s v="27-ene"/>
          <s v="28-ene"/>
          <s v="29-ene"/>
          <s v="30-ene"/>
          <s v="31-ene"/>
          <s v="1-feb"/>
          <s v="2-feb"/>
          <s v="3-feb"/>
          <s v="4-feb"/>
          <s v="5-feb"/>
          <s v="6-feb"/>
          <s v="7-feb"/>
          <s v="8-feb"/>
          <s v="9-feb"/>
          <s v="10-feb"/>
          <s v="11-feb"/>
          <s v="12-feb"/>
          <s v="13-feb"/>
          <s v="14-feb"/>
          <s v="15-feb"/>
          <s v="16-feb"/>
          <s v="17-feb"/>
          <s v="18-feb"/>
          <s v="19-feb"/>
          <s v="20-feb"/>
          <s v="21-feb"/>
          <s v="22-feb"/>
          <s v="23-feb"/>
          <s v="24-feb"/>
          <s v="25-feb"/>
          <s v="26-feb"/>
          <s v="27-feb"/>
          <s v="28-feb"/>
          <s v="29-feb"/>
          <s v="1-mar"/>
          <s v="2-mar"/>
          <s v="3-mar"/>
          <s v="4-mar"/>
          <s v="5-mar"/>
          <s v="6-mar"/>
          <s v="7-mar"/>
          <s v="8-mar"/>
          <s v="9-mar"/>
          <s v="10-mar"/>
          <s v="11-mar"/>
          <s v="12-mar"/>
          <s v="13-mar"/>
          <s v="14-mar"/>
          <s v="15-mar"/>
          <s v="16-mar"/>
          <s v="17-mar"/>
          <s v="18-mar"/>
          <s v="19-mar"/>
          <s v="20-mar"/>
          <s v="21-mar"/>
          <s v="22-mar"/>
          <s v="23-mar"/>
          <s v="24-mar"/>
          <s v="25-mar"/>
          <s v="26-mar"/>
          <s v="27-mar"/>
          <s v="28-mar"/>
          <s v="29-mar"/>
          <s v="30-mar"/>
          <s v="31-mar"/>
          <s v="1-abr"/>
          <s v="2-abr"/>
          <s v="3-abr"/>
          <s v="4-abr"/>
          <s v="5-abr"/>
          <s v="6-abr"/>
          <s v="7-abr"/>
          <s v="8-abr"/>
          <s v="9-abr"/>
          <s v="10-abr"/>
          <s v="11-abr"/>
          <s v="12-abr"/>
          <s v="13-abr"/>
          <s v="14-abr"/>
          <s v="15-abr"/>
          <s v="16-abr"/>
          <s v="17-abr"/>
          <s v="18-abr"/>
          <s v="19-abr"/>
          <s v="20-abr"/>
          <s v="21-abr"/>
          <s v="22-abr"/>
          <s v="23-abr"/>
          <s v="24-abr"/>
          <s v="25-abr"/>
          <s v="26-abr"/>
          <s v="27-abr"/>
          <s v="28-abr"/>
          <s v="29-abr"/>
          <s v="30-abr"/>
          <s v="1-may"/>
          <s v="2-may"/>
          <s v="3-may"/>
          <s v="4-may"/>
          <s v="5-may"/>
          <s v="6-may"/>
          <s v="7-may"/>
          <s v="8-may"/>
          <s v="9-may"/>
          <s v="10-may"/>
          <s v="11-may"/>
          <s v="12-may"/>
          <s v="13-may"/>
          <s v="14-may"/>
          <s v="15-may"/>
          <s v="16-may"/>
          <s v="17-may"/>
          <s v="18-may"/>
          <s v="19-may"/>
          <s v="20-may"/>
          <s v="21-may"/>
          <s v="22-may"/>
          <s v="23-may"/>
          <s v="24-may"/>
          <s v="25-may"/>
          <s v="26-may"/>
          <s v="27-may"/>
          <s v="28-may"/>
          <s v="29-may"/>
          <s v="30-may"/>
          <s v="31-may"/>
          <s v="1-jun"/>
          <s v="2-jun"/>
          <s v="3-jun"/>
          <s v="4-jun"/>
          <s v="5-jun"/>
          <s v="6-jun"/>
          <s v="7-jun"/>
          <s v="8-jun"/>
          <s v="9-jun"/>
          <s v="10-jun"/>
          <s v="11-jun"/>
          <s v="12-jun"/>
          <s v="13-jun"/>
          <s v="14-jun"/>
          <s v="15-jun"/>
          <s v="16-jun"/>
          <s v="17-jun"/>
          <s v="18-jun"/>
          <s v="19-jun"/>
          <s v="20-jun"/>
          <s v="21-jun"/>
          <s v="22-jun"/>
          <s v="23-jun"/>
          <s v="24-jun"/>
          <s v="25-jun"/>
          <s v="26-jun"/>
          <s v="27-jun"/>
          <s v="28-jun"/>
          <s v="29-jun"/>
          <s v="30-jun"/>
          <s v="1-jul"/>
          <s v="2-jul"/>
          <s v="3-jul"/>
          <s v="4-jul"/>
          <s v="5-jul"/>
          <s v="6-jul"/>
          <s v="7-jul"/>
          <s v="8-jul"/>
          <s v="9-jul"/>
          <s v="10-jul"/>
          <s v="11-jul"/>
          <s v="12-jul"/>
          <s v="13-jul"/>
          <s v="14-jul"/>
          <s v="15-jul"/>
          <s v="16-jul"/>
          <s v="17-jul"/>
          <s v="18-jul"/>
          <s v="19-jul"/>
          <s v="20-jul"/>
          <s v="21-jul"/>
          <s v="22-jul"/>
          <s v="23-jul"/>
          <s v="24-jul"/>
          <s v="25-jul"/>
          <s v="26-jul"/>
          <s v="27-jul"/>
          <s v="28-jul"/>
          <s v="29-jul"/>
          <s v="30-jul"/>
          <s v="31-jul"/>
          <s v="1-ago"/>
          <s v="2-ago"/>
          <s v="3-ago"/>
          <s v="4-ago"/>
          <s v="5-ago"/>
          <s v="6-ago"/>
          <s v="7-ago"/>
          <s v="8-ago"/>
          <s v="9-ago"/>
          <s v="10-ago"/>
          <s v="11-ago"/>
          <s v="12-ago"/>
          <s v="13-ago"/>
          <s v="14-ago"/>
          <s v="15-ago"/>
          <s v="16-ago"/>
          <s v="17-ago"/>
          <s v="18-ago"/>
          <s v="19-ago"/>
          <s v="20-ago"/>
          <s v="21-ago"/>
          <s v="22-ago"/>
          <s v="23-ago"/>
          <s v="24-ago"/>
          <s v="25-ago"/>
          <s v="26-ago"/>
          <s v="27-ago"/>
          <s v="28-ago"/>
          <s v="29-ago"/>
          <s v="30-ago"/>
          <s v="31-ago"/>
          <s v="1-sep"/>
          <s v="2-sep"/>
          <s v="3-sep"/>
          <s v="4-sep"/>
          <s v="5-sep"/>
          <s v="6-sep"/>
          <s v="7-sep"/>
          <s v="8-sep"/>
          <s v="9-sep"/>
          <s v="10-sep"/>
          <s v="11-sep"/>
          <s v="12-sep"/>
          <s v="13-sep"/>
          <s v="14-sep"/>
          <s v="15-sep"/>
          <s v="16-sep"/>
          <s v="17-sep"/>
          <s v="18-sep"/>
          <s v="19-sep"/>
          <s v="20-sep"/>
          <s v="21-sep"/>
          <s v="22-sep"/>
          <s v="23-sep"/>
          <s v="24-sep"/>
          <s v="25-sep"/>
          <s v="26-sep"/>
          <s v="27-sep"/>
          <s v="28-sep"/>
          <s v="29-sep"/>
          <s v="30-sep"/>
          <s v="1-oct"/>
          <s v="2-oct"/>
          <s v="3-oct"/>
          <s v="4-oct"/>
          <s v="5-oct"/>
          <s v="6-oct"/>
          <s v="7-oct"/>
          <s v="8-oct"/>
          <s v="9-oct"/>
          <s v="10-oct"/>
          <s v="11-oct"/>
          <s v="12-oct"/>
          <s v="13-oct"/>
          <s v="14-oct"/>
          <s v="15-oct"/>
          <s v="16-oct"/>
          <s v="17-oct"/>
          <s v="18-oct"/>
          <s v="19-oct"/>
          <s v="20-oct"/>
          <s v="21-oct"/>
          <s v="22-oct"/>
          <s v="23-oct"/>
          <s v="24-oct"/>
          <s v="25-oct"/>
          <s v="26-oct"/>
          <s v="27-oct"/>
          <s v="28-oct"/>
          <s v="29-oct"/>
          <s v="30-oct"/>
          <s v="31-oct"/>
          <s v="1-nov"/>
          <s v="2-nov"/>
          <s v="3-nov"/>
          <s v="4-nov"/>
          <s v="5-nov"/>
          <s v="6-nov"/>
          <s v="7-nov"/>
          <s v="8-nov"/>
          <s v="9-nov"/>
          <s v="10-nov"/>
          <s v="11-nov"/>
          <s v="12-nov"/>
          <s v="13-nov"/>
          <s v="14-nov"/>
          <s v="15-nov"/>
          <s v="16-nov"/>
          <s v="17-nov"/>
          <s v="18-nov"/>
          <s v="19-nov"/>
          <s v="20-nov"/>
          <s v="21-nov"/>
          <s v="22-nov"/>
          <s v="23-nov"/>
          <s v="24-nov"/>
          <s v="25-nov"/>
          <s v="26-nov"/>
          <s v="27-nov"/>
          <s v="28-nov"/>
          <s v="29-nov"/>
          <s v="30-nov"/>
          <s v="1-dic"/>
          <s v="2-dic"/>
          <s v="3-dic"/>
          <s v="4-dic"/>
          <s v="5-dic"/>
          <s v="6-dic"/>
          <s v="7-dic"/>
          <s v="8-dic"/>
          <s v="9-dic"/>
          <s v="10-dic"/>
          <s v="11-dic"/>
          <s v="12-dic"/>
          <s v="13-dic"/>
          <s v="14-dic"/>
          <s v="15-dic"/>
          <s v="16-dic"/>
          <s v="17-dic"/>
          <s v="18-dic"/>
          <s v="19-dic"/>
          <s v="20-dic"/>
          <s v="21-dic"/>
          <s v="22-dic"/>
          <s v="23-dic"/>
          <s v="24-dic"/>
          <s v="25-dic"/>
          <s v="26-dic"/>
          <s v="27-dic"/>
          <s v="28-dic"/>
          <s v="29-dic"/>
          <s v="30-dic"/>
          <s v="31-dic"/>
          <s v="&gt;27/12/2026"/>
        </groupItems>
      </fieldGroup>
    </cacheField>
    <cacheField name="Meses (Fecha_Operacion)" numFmtId="0" databaseField="0">
      <fieldGroup base="1">
        <rangePr groupBy="months" startDate="2026-01-01T00:00:00" endDate="2026-12-27T00:00:00"/>
        <groupItems count="14">
          <s v="&lt;1/01/2026"/>
          <s v="ene"/>
          <s v="feb"/>
          <s v="mar"/>
          <s v="abr"/>
          <s v="may"/>
          <s v="jun"/>
          <s v="jul"/>
          <s v="ago"/>
          <s v="sep"/>
          <s v="oct"/>
          <s v="nov"/>
          <s v="dic"/>
          <s v="&gt;27/12/2026"/>
        </groupItems>
      </fieldGroup>
    </cacheField>
  </cacheFields>
  <extLst>
    <ext xmlns:x14="http://schemas.microsoft.com/office/spreadsheetml/2009/9/main" uri="{725AE2AE-9491-48be-B2B4-4EB974FC3084}">
      <x14:pivotCacheDefinition pivotCacheId="1173870776"/>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
  <r>
    <s v="TX-100000"/>
    <x v="0"/>
    <s v="CLI-001"/>
    <s v="TECN-01"/>
    <n v="7"/>
    <n v="401778"/>
    <x v="0"/>
    <x v="0"/>
  </r>
  <r>
    <s v="TX-100001"/>
    <x v="1"/>
    <s v="CLI-002"/>
    <s v="ELEC-02"/>
    <n v="1"/>
    <n v="810179"/>
    <x v="0"/>
    <x v="1"/>
  </r>
  <r>
    <s v="TX-100002"/>
    <x v="2"/>
    <s v="CLI-003"/>
    <s v="TECN-01"/>
    <n v="4"/>
    <n v="783797"/>
    <x v="0"/>
    <x v="1"/>
  </r>
  <r>
    <s v="TX-100003"/>
    <x v="3"/>
    <s v="CLI-004"/>
    <s v="ELEC-02"/>
    <n v="6"/>
    <n v="215555"/>
    <x v="0"/>
    <x v="1"/>
  </r>
  <r>
    <s v="TX-100004"/>
    <x v="4"/>
    <s v="CLI-005"/>
    <s v="ELEC-02"/>
    <n v="4"/>
    <n v="216339"/>
    <x v="0"/>
    <x v="0"/>
  </r>
  <r>
    <s v="TX-100005"/>
    <x v="5"/>
    <s v="CLI-006"/>
    <s v="LBLA-02"/>
    <n v="4"/>
    <n v="78659"/>
    <x v="0"/>
    <x v="0"/>
  </r>
  <r>
    <s v="TX-100006"/>
    <x v="6"/>
    <s v="CLI-007"/>
    <s v="TECN-02"/>
    <n v="11"/>
    <n v="526141"/>
    <x v="0"/>
    <x v="2"/>
  </r>
  <r>
    <s v="TX-100007"/>
    <x v="7"/>
    <s v="CLI-008"/>
    <s v="HOGA-01"/>
    <n v="3"/>
    <n v="579277"/>
    <x v="1"/>
    <x v="1"/>
  </r>
  <r>
    <s v="TX-100008"/>
    <x v="8"/>
    <s v="CLI-009"/>
    <s v="HOGA-01"/>
    <n v="8"/>
    <n v="599816"/>
    <x v="1"/>
    <x v="3"/>
  </r>
  <r>
    <s v="TX-100009"/>
    <x v="9"/>
    <s v="CLI-010"/>
    <s v="ELEC-02"/>
    <n v="6"/>
    <n v="161970"/>
    <x v="0"/>
    <x v="1"/>
  </r>
  <r>
    <s v="TX-100010"/>
    <x v="10"/>
    <s v="CLI-011"/>
    <s v="LBLA-01"/>
    <n v="5"/>
    <n v="714987"/>
    <x v="2"/>
    <x v="1"/>
  </r>
  <r>
    <s v="TX-100011"/>
    <x v="11"/>
    <s v="CLI-012"/>
    <s v="ELEC-01"/>
    <n v="6"/>
    <n v="367451"/>
    <x v="0"/>
    <x v="3"/>
  </r>
  <r>
    <s v="TX-100012"/>
    <x v="12"/>
    <s v="CLI-013"/>
    <s v="ELEC-02"/>
    <n v="8"/>
    <n v="621510"/>
    <x v="0"/>
    <x v="1"/>
  </r>
  <r>
    <s v="TX-100013"/>
    <x v="13"/>
    <s v="CLI-014"/>
    <s v="LBLA-02"/>
    <n v="6"/>
    <n v="504381"/>
    <x v="0"/>
    <x v="1"/>
  </r>
  <r>
    <s v="TX-100014"/>
    <x v="14"/>
    <s v="CLI-015"/>
    <s v="TECN-02"/>
    <n v="4"/>
    <n v="52540"/>
    <x v="0"/>
    <x v="0"/>
  </r>
  <r>
    <s v="TX-100015"/>
    <x v="15"/>
    <s v="CLI-016"/>
    <s v="ELEC-02"/>
    <n v="4"/>
    <n v="610427"/>
    <x v="0"/>
    <x v="3"/>
  </r>
  <r>
    <s v="TX-100016"/>
    <x v="16"/>
    <s v="CLI-017"/>
    <s v="HOGA-01"/>
    <n v="6"/>
    <n v="489154"/>
    <x v="1"/>
    <x v="1"/>
  </r>
  <r>
    <s v="TX-100017"/>
    <x v="17"/>
    <s v="CLI-018"/>
    <s v="ELEC-02"/>
    <n v="2"/>
    <n v="305735"/>
    <x v="0"/>
    <x v="3"/>
  </r>
  <r>
    <s v="TX-100018"/>
    <x v="18"/>
    <s v="CLI-019"/>
    <s v="LBLA-02"/>
    <n v="9"/>
    <n v="147664"/>
    <x v="0"/>
    <x v="2"/>
  </r>
  <r>
    <s v="TX-100019"/>
    <x v="19"/>
    <s v="CLI-020"/>
    <s v="LBLA-01"/>
    <n v="7"/>
    <n v="106483"/>
    <x v="2"/>
    <x v="1"/>
  </r>
  <r>
    <s v="TX-100020"/>
    <x v="20"/>
    <s v="CLI-021"/>
    <s v="TECN-01"/>
    <n v="9"/>
    <n v="739022"/>
    <x v="0"/>
    <x v="2"/>
  </r>
  <r>
    <s v="TX-100021"/>
    <x v="21"/>
    <s v="CLI-022"/>
    <s v="ELEC-01"/>
    <n v="9"/>
    <n v="601926"/>
    <x v="0"/>
    <x v="0"/>
  </r>
  <r>
    <s v="TX-100022"/>
    <x v="22"/>
    <s v="CLI-023"/>
    <s v="ELEC-02"/>
    <n v="10"/>
    <n v="303175"/>
    <x v="0"/>
    <x v="1"/>
  </r>
  <r>
    <s v="TX-100023"/>
    <x v="23"/>
    <s v="CLI-024"/>
    <s v="TECN-02"/>
    <n v="4"/>
    <n v="323517"/>
    <x v="0"/>
    <x v="1"/>
  </r>
  <r>
    <s v="TX-100024"/>
    <x v="24"/>
    <s v="CLI-025"/>
    <s v="ELEC-01"/>
    <n v="2"/>
    <n v="121819"/>
    <x v="0"/>
    <x v="4"/>
  </r>
  <r>
    <s v="TX-100025"/>
    <x v="25"/>
    <s v="CLI-026"/>
    <s v="LBLA-02"/>
    <n v="9"/>
    <n v="782715"/>
    <x v="0"/>
    <x v="1"/>
  </r>
  <r>
    <s v="TX-100026"/>
    <x v="26"/>
    <s v="CLI-027"/>
    <s v="TECN-01"/>
    <n v="2"/>
    <n v="157235"/>
    <x v="0"/>
    <x v="1"/>
  </r>
  <r>
    <s v="TX-100027"/>
    <x v="27"/>
    <s v="CLI-028"/>
    <s v="TECN-02"/>
    <n v="9"/>
    <n v="557262"/>
    <x v="0"/>
    <x v="1"/>
  </r>
  <r>
    <s v="TX-100028"/>
    <x v="28"/>
    <s v="CLI-029"/>
    <s v="ELEC-01"/>
    <n v="5"/>
    <n v="214430"/>
    <x v="0"/>
    <x v="2"/>
  </r>
  <r>
    <s v="TX-100029"/>
    <x v="29"/>
    <s v="CLI-030"/>
    <s v="ELEC-02"/>
    <n v="3"/>
    <n v="617092"/>
    <x v="0"/>
    <x v="0"/>
  </r>
  <r>
    <s v="TX-100030"/>
    <x v="30"/>
    <s v="CLI-031"/>
    <s v="TECN-01"/>
    <n v="1"/>
    <n v="420190"/>
    <x v="0"/>
    <x v="2"/>
  </r>
  <r>
    <s v="TX-100031"/>
    <x v="31"/>
    <s v="CLI-032"/>
    <s v="LBLA-01"/>
    <n v="3"/>
    <n v="477322"/>
    <x v="2"/>
    <x v="0"/>
  </r>
  <r>
    <s v="TX-100032"/>
    <x v="32"/>
    <s v="CLI-033"/>
    <s v="LBLA-02"/>
    <n v="7"/>
    <n v="85605"/>
    <x v="0"/>
    <x v="3"/>
  </r>
  <r>
    <s v="TX-100033"/>
    <x v="33"/>
    <s v="CLI-034"/>
    <s v="TECN-02"/>
    <n v="4"/>
    <n v="69813"/>
    <x v="0"/>
    <x v="4"/>
  </r>
  <r>
    <s v="TX-100034"/>
    <x v="34"/>
    <s v="CLI-035"/>
    <s v="TECN-02"/>
    <n v="9"/>
    <n v="392235"/>
    <x v="0"/>
    <x v="3"/>
  </r>
  <r>
    <s v="TX-100035"/>
    <x v="35"/>
    <s v="CLI-036"/>
    <s v="TECN-01"/>
    <n v="12"/>
    <n v="373914"/>
    <x v="0"/>
    <x v="3"/>
  </r>
  <r>
    <s v="TX-100036"/>
    <x v="36"/>
    <s v="CLI-037"/>
    <s v="TECN-01"/>
    <n v="9"/>
    <n v="765221"/>
    <x v="0"/>
    <x v="2"/>
  </r>
  <r>
    <s v="TX-100037"/>
    <x v="37"/>
    <s v="CLI-038"/>
    <s v="HOGA-01"/>
    <n v="10"/>
    <n v="374164"/>
    <x v="1"/>
    <x v="0"/>
  </r>
  <r>
    <s v="TX-100038"/>
    <x v="26"/>
    <s v="CLI-039"/>
    <s v="HOGA-01"/>
    <n v="3"/>
    <n v="246158"/>
    <x v="1"/>
    <x v="2"/>
  </r>
  <r>
    <s v="TX-100039"/>
    <x v="38"/>
    <s v="CLI-040"/>
    <s v="TECN-01"/>
    <n v="5"/>
    <n v="265392"/>
    <x v="0"/>
    <x v="3"/>
  </r>
  <r>
    <s v="TX-100040"/>
    <x v="39"/>
    <s v="CLI-041"/>
    <s v="LBLA-02"/>
    <n v="12"/>
    <n v="222934"/>
    <x v="0"/>
    <x v="0"/>
  </r>
  <r>
    <s v="TX-100041"/>
    <x v="40"/>
    <s v="CLI-042"/>
    <s v="LBLA-02"/>
    <n v="1"/>
    <n v="93458"/>
    <x v="0"/>
    <x v="1"/>
  </r>
  <r>
    <s v="TX-100042"/>
    <x v="41"/>
    <s v="CLI-043"/>
    <s v="LBLA-02"/>
    <n v="11"/>
    <n v="766024"/>
    <x v="0"/>
    <x v="1"/>
  </r>
  <r>
    <s v="TX-100043"/>
    <x v="42"/>
    <s v="CLI-044"/>
    <s v="LBLA-02"/>
    <n v="8"/>
    <n v="97657"/>
    <x v="0"/>
    <x v="1"/>
  </r>
  <r>
    <s v="TX-100044"/>
    <x v="43"/>
    <s v="CLI-045"/>
    <s v="TECN-02"/>
    <n v="9"/>
    <n v="492470"/>
    <x v="0"/>
    <x v="1"/>
  </r>
  <r>
    <s v="TX-100045"/>
    <x v="44"/>
    <s v="CLI-046"/>
    <s v="HOGA-02"/>
    <n v="5"/>
    <n v="848013"/>
    <x v="1"/>
    <x v="1"/>
  </r>
  <r>
    <s v="TX-100046"/>
    <x v="45"/>
    <s v="CLI-047"/>
    <s v="ELEC-02"/>
    <n v="9"/>
    <n v="129491"/>
    <x v="0"/>
    <x v="1"/>
  </r>
  <r>
    <s v="TX-100047"/>
    <x v="14"/>
    <s v="CLI-048"/>
    <s v="HOGA-01"/>
    <n v="1"/>
    <n v="261881"/>
    <x v="1"/>
    <x v="1"/>
  </r>
  <r>
    <s v="TX-100048"/>
    <x v="46"/>
    <s v="CLI-049"/>
    <s v="ELEC-01"/>
    <n v="6"/>
    <n v="358118"/>
    <x v="0"/>
    <x v="0"/>
  </r>
  <r>
    <s v="TX-100049"/>
    <x v="47"/>
    <s v="CLI-050"/>
    <s v="LBLA-02"/>
    <n v="1"/>
    <n v="452746"/>
    <x v="0"/>
    <x v="3"/>
  </r>
  <r>
    <s v="TX-100050"/>
    <x v="48"/>
    <s v="CLI-051"/>
    <s v="LBLA-01"/>
    <n v="10"/>
    <n v="636807"/>
    <x v="2"/>
    <x v="3"/>
  </r>
  <r>
    <s v="TX-100051"/>
    <x v="49"/>
    <s v="CLI-052"/>
    <s v="ELEC-01"/>
    <n v="6"/>
    <n v="398894"/>
    <x v="0"/>
    <x v="1"/>
  </r>
  <r>
    <s v="TX-100052"/>
    <x v="50"/>
    <s v="CLI-053"/>
    <s v="TECN-01"/>
    <n v="1"/>
    <n v="411960"/>
    <x v="0"/>
    <x v="1"/>
  </r>
  <r>
    <s v="TX-100053"/>
    <x v="51"/>
    <s v="CLI-054"/>
    <s v="ELEC-01"/>
    <n v="3"/>
    <n v="295132"/>
    <x v="0"/>
    <x v="4"/>
  </r>
  <r>
    <s v="TX-100054"/>
    <x v="52"/>
    <s v="CLI-055"/>
    <s v="TECN-01"/>
    <n v="12"/>
    <n v="798252"/>
    <x v="0"/>
    <x v="0"/>
  </r>
  <r>
    <s v="TX-100055"/>
    <x v="53"/>
    <s v="CLI-056"/>
    <s v="ELEC-01"/>
    <n v="7"/>
    <n v="460922"/>
    <x v="0"/>
    <x v="0"/>
  </r>
  <r>
    <s v="TX-100056"/>
    <x v="54"/>
    <s v="CLI-057"/>
    <s v="LBLA-02"/>
    <n v="11"/>
    <n v="674577"/>
    <x v="0"/>
    <x v="1"/>
  </r>
  <r>
    <s v="TX-100057"/>
    <x v="30"/>
    <s v="CLI-058"/>
    <s v="TECN-02"/>
    <n v="9"/>
    <n v="723998"/>
    <x v="0"/>
    <x v="0"/>
  </r>
  <r>
    <s v="TX-100058"/>
    <x v="55"/>
    <s v="CLI-059"/>
    <s v="HOGA-02"/>
    <n v="11"/>
    <n v="328201"/>
    <x v="1"/>
    <x v="1"/>
  </r>
  <r>
    <s v="TX-100059"/>
    <x v="56"/>
    <s v="CLI-060"/>
    <s v="TECN-01"/>
    <n v="2"/>
    <n v="337477"/>
    <x v="0"/>
    <x v="3"/>
  </r>
  <r>
    <s v="TX-100060"/>
    <x v="57"/>
    <s v="CLI-061"/>
    <s v="HOGA-01"/>
    <n v="3"/>
    <n v="556233"/>
    <x v="1"/>
    <x v="4"/>
  </r>
  <r>
    <s v="TX-100061"/>
    <x v="58"/>
    <s v="CLI-062"/>
    <s v="TECN-01"/>
    <n v="2"/>
    <n v="298080"/>
    <x v="0"/>
    <x v="0"/>
  </r>
  <r>
    <s v="TX-100062"/>
    <x v="59"/>
    <s v="CLI-063"/>
    <s v="HOGA-02"/>
    <n v="5"/>
    <n v="277360"/>
    <x v="1"/>
    <x v="3"/>
  </r>
  <r>
    <s v="TX-100063"/>
    <x v="60"/>
    <s v="CLI-064"/>
    <s v="TECN-02"/>
    <n v="6"/>
    <n v="781996"/>
    <x v="0"/>
    <x v="0"/>
  </r>
  <r>
    <s v="TX-100064"/>
    <x v="61"/>
    <s v="CLI-065"/>
    <s v="ELEC-02"/>
    <n v="4"/>
    <n v="271895"/>
    <x v="0"/>
    <x v="2"/>
  </r>
  <r>
    <s v="TX-100065"/>
    <x v="62"/>
    <s v="CLI-066"/>
    <s v="TECN-01"/>
    <n v="6"/>
    <n v="233158"/>
    <x v="0"/>
    <x v="0"/>
  </r>
  <r>
    <s v="TX-100066"/>
    <x v="63"/>
    <s v="CLI-067"/>
    <s v="TECN-01"/>
    <n v="2"/>
    <n v="57861"/>
    <x v="0"/>
    <x v="1"/>
  </r>
  <r>
    <s v="TX-100067"/>
    <x v="64"/>
    <s v="CLI-068"/>
    <s v="TECN-01"/>
    <n v="8"/>
    <n v="122680"/>
    <x v="0"/>
    <x v="1"/>
  </r>
  <r>
    <s v="TX-100068"/>
    <x v="65"/>
    <s v="CLI-069"/>
    <s v="ELEC-02"/>
    <n v="10"/>
    <n v="670084"/>
    <x v="0"/>
    <x v="1"/>
  </r>
  <r>
    <s v="TX-100069"/>
    <x v="66"/>
    <s v="CLI-070"/>
    <s v="HOGA-02"/>
    <n v="5"/>
    <n v="641251"/>
    <x v="1"/>
    <x v="1"/>
  </r>
  <r>
    <s v="TX-100070"/>
    <x v="67"/>
    <s v="CLI-071"/>
    <s v="LBLA-02"/>
    <n v="3"/>
    <n v="623805"/>
    <x v="0"/>
    <x v="1"/>
  </r>
  <r>
    <s v="TX-100071"/>
    <x v="68"/>
    <s v="CLI-072"/>
    <s v="ELEC-01"/>
    <n v="8"/>
    <n v="119637"/>
    <x v="0"/>
    <x v="4"/>
  </r>
  <r>
    <s v="TX-100072"/>
    <x v="69"/>
    <s v="CLI-073"/>
    <s v="LBLA-02"/>
    <n v="3"/>
    <n v="323535"/>
    <x v="0"/>
    <x v="2"/>
  </r>
  <r>
    <s v="TX-100073"/>
    <x v="70"/>
    <s v="CLI-074"/>
    <s v="TECN-01"/>
    <n v="12"/>
    <n v="467060"/>
    <x v="0"/>
    <x v="1"/>
  </r>
  <r>
    <s v="TX-100074"/>
    <x v="71"/>
    <s v="CLI-075"/>
    <s v="ELEC-01"/>
    <n v="1"/>
    <n v="140763"/>
    <x v="0"/>
    <x v="0"/>
  </r>
  <r>
    <s v="TX-100075"/>
    <x v="72"/>
    <s v="CLI-076"/>
    <s v="TECN-01"/>
    <n v="8"/>
    <n v="589173"/>
    <x v="0"/>
    <x v="3"/>
  </r>
  <r>
    <s v="TX-100076"/>
    <x v="73"/>
    <s v="CLI-077"/>
    <s v="HOGA-02"/>
    <n v="6"/>
    <n v="747685"/>
    <x v="1"/>
    <x v="2"/>
  </r>
  <r>
    <s v="TX-100077"/>
    <x v="74"/>
    <s v="CLI-078"/>
    <s v="HOGA-01"/>
    <n v="5"/>
    <n v="383977"/>
    <x v="1"/>
    <x v="3"/>
  </r>
  <r>
    <s v="TX-100078"/>
    <x v="75"/>
    <s v="CLI-079"/>
    <s v="HOGA-02"/>
    <n v="10"/>
    <n v="838188"/>
    <x v="1"/>
    <x v="1"/>
  </r>
  <r>
    <s v="TX-100079"/>
    <x v="76"/>
    <s v="CLI-080"/>
    <s v="TECN-01"/>
    <n v="1"/>
    <n v="705626"/>
    <x v="0"/>
    <x v="1"/>
  </r>
  <r>
    <s v="TX-100080"/>
    <x v="77"/>
    <s v="CLI-081"/>
    <s v="HOGA-01"/>
    <n v="2"/>
    <n v="528863"/>
    <x v="1"/>
    <x v="3"/>
  </r>
  <r>
    <s v="TX-100081"/>
    <x v="68"/>
    <s v="CLI-082"/>
    <s v="TECN-01"/>
    <n v="4"/>
    <n v="523975"/>
    <x v="0"/>
    <x v="1"/>
  </r>
  <r>
    <s v="TX-100082"/>
    <x v="78"/>
    <s v="CLI-083"/>
    <s v="LBLA-01"/>
    <n v="7"/>
    <n v="401385"/>
    <x v="2"/>
    <x v="3"/>
  </r>
  <r>
    <s v="TX-100083"/>
    <x v="79"/>
    <s v="CLI-084"/>
    <s v="TECN-01"/>
    <n v="3"/>
    <n v="513238"/>
    <x v="0"/>
    <x v="2"/>
  </r>
  <r>
    <s v="TX-100084"/>
    <x v="80"/>
    <s v="CLI-085"/>
    <s v="TECN-02"/>
    <n v="7"/>
    <n v="289907"/>
    <x v="0"/>
    <x v="3"/>
  </r>
  <r>
    <s v="TX-100085"/>
    <x v="16"/>
    <s v="CLI-086"/>
    <s v="HOGA-01"/>
    <n v="11"/>
    <n v="204493"/>
    <x v="1"/>
    <x v="1"/>
  </r>
  <r>
    <s v="TX-100086"/>
    <x v="81"/>
    <s v="CLI-087"/>
    <s v="HOGA-02"/>
    <n v="12"/>
    <n v="196157"/>
    <x v="1"/>
    <x v="4"/>
  </r>
  <r>
    <s v="TX-100087"/>
    <x v="82"/>
    <s v="CLI-088"/>
    <s v="TECN-02"/>
    <n v="6"/>
    <n v="752115"/>
    <x v="0"/>
    <x v="3"/>
  </r>
  <r>
    <s v="TX-100088"/>
    <x v="83"/>
    <s v="CLI-089"/>
    <s v="ELEC-01"/>
    <n v="5"/>
    <n v="283536"/>
    <x v="0"/>
    <x v="1"/>
  </r>
  <r>
    <s v="TX-100089"/>
    <x v="84"/>
    <s v="CLI-090"/>
    <s v="ELEC-02"/>
    <n v="1"/>
    <n v="93225"/>
    <x v="0"/>
    <x v="1"/>
  </r>
  <r>
    <s v="TX-100090"/>
    <x v="85"/>
    <s v="CLI-091"/>
    <s v="HOGA-01"/>
    <n v="3"/>
    <n v="127804"/>
    <x v="1"/>
    <x v="1"/>
  </r>
  <r>
    <s v="TX-100091"/>
    <x v="86"/>
    <s v="CLI-092"/>
    <s v="LBLA-01"/>
    <n v="5"/>
    <n v="744233"/>
    <x v="2"/>
    <x v="0"/>
  </r>
  <r>
    <s v="TX-100092"/>
    <x v="87"/>
    <s v="CLI-093"/>
    <s v="ELEC-02"/>
    <n v="5"/>
    <n v="714975"/>
    <x v="0"/>
    <x v="0"/>
  </r>
  <r>
    <s v="TX-100093"/>
    <x v="88"/>
    <s v="CLI-094"/>
    <s v="LBLA-02"/>
    <n v="7"/>
    <n v="644704"/>
    <x v="0"/>
    <x v="3"/>
  </r>
  <r>
    <s v="TX-100094"/>
    <x v="89"/>
    <s v="CLI-095"/>
    <s v="HOGA-01"/>
    <n v="12"/>
    <n v="96426"/>
    <x v="1"/>
    <x v="1"/>
  </r>
  <r>
    <s v="TX-100095"/>
    <x v="90"/>
    <s v="CLI-096"/>
    <s v="LBLA-02"/>
    <n v="4"/>
    <n v="696051"/>
    <x v="0"/>
    <x v="3"/>
  </r>
  <r>
    <s v="TX-100096"/>
    <x v="91"/>
    <s v="CLI-097"/>
    <s v="ELEC-02"/>
    <n v="10"/>
    <n v="427584"/>
    <x v="0"/>
    <x v="4"/>
  </r>
  <r>
    <s v="TX-100097"/>
    <x v="41"/>
    <s v="CLI-098"/>
    <s v="LBLA-01"/>
    <n v="6"/>
    <n v="601639"/>
    <x v="2"/>
    <x v="3"/>
  </r>
  <r>
    <s v="TX-100098"/>
    <x v="92"/>
    <s v="CLI-099"/>
    <s v="TECN-01"/>
    <n v="2"/>
    <n v="192594"/>
    <x v="0"/>
    <x v="4"/>
  </r>
  <r>
    <s v="TX-100099"/>
    <x v="93"/>
    <s v="CLI-100"/>
    <s v="HOGA-01"/>
    <n v="1"/>
    <n v="322304"/>
    <x v="1"/>
    <x v="2"/>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74626B3E-D8C7-4800-BC08-84B7C2025FC9}" name="TablaDinámica3" cacheId="0" applyNumberFormats="0" applyBorderFormats="0" applyFontFormats="0" applyPatternFormats="0" applyAlignmentFormats="0" applyWidthHeightFormats="1" dataCaption="Valores" updatedVersion="8" minRefreshableVersion="3" useAutoFormatting="1" itemPrintTitles="1" createdVersion="8" indent="0" outline="1" outlineData="1" multipleFieldFilters="0">
  <location ref="A15:B26" firstHeaderRow="1" firstDataRow="1" firstDataCol="1"/>
  <pivotFields count="10">
    <pivotField showAll="0"/>
    <pivotField axis="axisRow" numFmtId="14" showAll="0">
      <items count="95">
        <item x="75"/>
        <item x="29"/>
        <item x="72"/>
        <item x="51"/>
        <item x="30"/>
        <item x="64"/>
        <item x="63"/>
        <item x="21"/>
        <item x="14"/>
        <item x="25"/>
        <item x="24"/>
        <item x="2"/>
        <item x="71"/>
        <item x="40"/>
        <item x="81"/>
        <item x="53"/>
        <item x="76"/>
        <item x="91"/>
        <item x="87"/>
        <item x="8"/>
        <item x="35"/>
        <item x="49"/>
        <item x="36"/>
        <item x="67"/>
        <item x="27"/>
        <item x="3"/>
        <item x="19"/>
        <item x="85"/>
        <item x="10"/>
        <item x="82"/>
        <item x="28"/>
        <item x="34"/>
        <item x="79"/>
        <item x="90"/>
        <item x="68"/>
        <item x="88"/>
        <item x="65"/>
        <item x="70"/>
        <item x="61"/>
        <item x="15"/>
        <item x="55"/>
        <item x="37"/>
        <item x="1"/>
        <item x="31"/>
        <item x="41"/>
        <item x="47"/>
        <item x="50"/>
        <item x="42"/>
        <item x="45"/>
        <item x="39"/>
        <item x="66"/>
        <item x="20"/>
        <item x="80"/>
        <item x="33"/>
        <item x="18"/>
        <item x="43"/>
        <item x="48"/>
        <item x="16"/>
        <item x="44"/>
        <item x="92"/>
        <item x="12"/>
        <item x="83"/>
        <item x="78"/>
        <item x="62"/>
        <item x="11"/>
        <item x="13"/>
        <item x="77"/>
        <item x="60"/>
        <item x="23"/>
        <item x="6"/>
        <item x="86"/>
        <item x="7"/>
        <item x="0"/>
        <item x="56"/>
        <item x="22"/>
        <item x="57"/>
        <item x="38"/>
        <item x="54"/>
        <item x="84"/>
        <item x="73"/>
        <item x="17"/>
        <item x="4"/>
        <item x="89"/>
        <item x="69"/>
        <item x="74"/>
        <item x="26"/>
        <item x="32"/>
        <item x="93"/>
        <item x="9"/>
        <item x="5"/>
        <item x="59"/>
        <item x="46"/>
        <item x="52"/>
        <item x="58"/>
        <item t="default"/>
      </items>
    </pivotField>
    <pivotField showAll="0"/>
    <pivotField showAll="0"/>
    <pivotField showAll="0"/>
    <pivotField dataField="1" numFmtId="164" showAll="0"/>
    <pivotField showAll="0">
      <items count="4">
        <item h="1" x="0"/>
        <item x="1"/>
        <item h="1" x="2"/>
        <item t="default"/>
      </items>
    </pivotField>
    <pivotField showAll="0">
      <items count="6">
        <item x="2"/>
        <item x="1"/>
        <item x="0"/>
        <item x="4"/>
        <item x="3"/>
        <item t="default"/>
      </items>
    </pivotField>
    <pivotField axis="axisRow"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axis="axisRow" showAll="0">
      <items count="15">
        <item sd="0" x="0"/>
        <item sd="0" x="1"/>
        <item sd="0" x="2"/>
        <item sd="0" x="3"/>
        <item sd="0" x="4"/>
        <item sd="0" x="5"/>
        <item sd="0" x="6"/>
        <item sd="0" x="7"/>
        <item sd="0" x="8"/>
        <item sd="0" x="9"/>
        <item sd="0" x="10"/>
        <item sd="0" x="11"/>
        <item sd="0" x="12"/>
        <item sd="0" x="13"/>
        <item t="default"/>
      </items>
    </pivotField>
  </pivotFields>
  <rowFields count="3">
    <field x="9"/>
    <field x="8"/>
    <field x="1"/>
  </rowFields>
  <rowItems count="11">
    <i>
      <x v="1"/>
    </i>
    <i>
      <x v="2"/>
    </i>
    <i>
      <x v="3"/>
    </i>
    <i>
      <x v="5"/>
    </i>
    <i>
      <x v="7"/>
    </i>
    <i>
      <x v="8"/>
    </i>
    <i>
      <x v="9"/>
    </i>
    <i>
      <x v="10"/>
    </i>
    <i>
      <x v="11"/>
    </i>
    <i>
      <x v="12"/>
    </i>
    <i t="grand">
      <x/>
    </i>
  </rowItems>
  <colItems count="1">
    <i/>
  </colItems>
  <dataFields count="1">
    <dataField name="Suma de Precio_Unitario" fld="5" baseField="0" baseItem="0" numFmtId="164"/>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E7313970-E50C-422E-B2D8-13B7B77E9762}" name="TablaDinámica2" cacheId="0" applyNumberFormats="0" applyBorderFormats="0" applyFontFormats="0" applyPatternFormats="0" applyAlignmentFormats="0" applyWidthHeightFormats="1" dataCaption="Valores" updatedVersion="8" minRefreshableVersion="3" useAutoFormatting="1" itemPrintTitles="1" createdVersion="8" indent="0" outline="1" outlineData="1" multipleFieldFilters="0" chartFormat="3">
  <location ref="D3:E5" firstHeaderRow="1" firstDataRow="1" firstDataCol="1"/>
  <pivotFields count="10">
    <pivotField showAll="0"/>
    <pivotField numFmtId="14" showAll="0">
      <items count="95">
        <item x="75"/>
        <item x="29"/>
        <item x="72"/>
        <item x="51"/>
        <item x="30"/>
        <item x="64"/>
        <item x="63"/>
        <item x="21"/>
        <item x="14"/>
        <item x="25"/>
        <item x="24"/>
        <item x="2"/>
        <item x="71"/>
        <item x="40"/>
        <item x="81"/>
        <item x="53"/>
        <item x="76"/>
        <item x="91"/>
        <item x="87"/>
        <item x="8"/>
        <item x="35"/>
        <item x="49"/>
        <item x="36"/>
        <item x="67"/>
        <item x="27"/>
        <item x="3"/>
        <item x="19"/>
        <item x="85"/>
        <item x="10"/>
        <item x="82"/>
        <item x="28"/>
        <item x="34"/>
        <item x="79"/>
        <item x="90"/>
        <item x="68"/>
        <item x="88"/>
        <item x="65"/>
        <item x="70"/>
        <item x="61"/>
        <item x="15"/>
        <item x="55"/>
        <item x="37"/>
        <item x="1"/>
        <item x="31"/>
        <item x="41"/>
        <item x="47"/>
        <item x="50"/>
        <item x="42"/>
        <item x="45"/>
        <item x="39"/>
        <item x="66"/>
        <item x="20"/>
        <item x="80"/>
        <item x="33"/>
        <item x="18"/>
        <item x="43"/>
        <item x="48"/>
        <item x="16"/>
        <item x="44"/>
        <item x="92"/>
        <item x="12"/>
        <item x="83"/>
        <item x="78"/>
        <item x="62"/>
        <item x="11"/>
        <item x="13"/>
        <item x="77"/>
        <item x="60"/>
        <item x="23"/>
        <item x="6"/>
        <item x="86"/>
        <item x="7"/>
        <item x="0"/>
        <item x="56"/>
        <item x="22"/>
        <item x="57"/>
        <item x="38"/>
        <item x="54"/>
        <item x="84"/>
        <item x="73"/>
        <item x="17"/>
        <item x="4"/>
        <item x="89"/>
        <item x="69"/>
        <item x="74"/>
        <item x="26"/>
        <item x="32"/>
        <item x="93"/>
        <item x="9"/>
        <item x="5"/>
        <item x="59"/>
        <item x="46"/>
        <item x="52"/>
        <item x="58"/>
        <item t="default"/>
      </items>
    </pivotField>
    <pivotField showAll="0"/>
    <pivotField showAll="0"/>
    <pivotField showAll="0"/>
    <pivotField dataField="1" numFmtId="164" showAll="0"/>
    <pivotField axis="axisRow" showAll="0">
      <items count="4">
        <item h="1" x="0"/>
        <item x="1"/>
        <item h="1" x="2"/>
        <item t="default"/>
      </items>
    </pivotField>
    <pivotField showAll="0">
      <items count="6">
        <item x="2"/>
        <item x="1"/>
        <item x="0"/>
        <item x="4"/>
        <item x="3"/>
        <item t="default"/>
      </items>
    </pivotField>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6"/>
  </rowFields>
  <rowItems count="2">
    <i>
      <x v="1"/>
    </i>
    <i t="grand">
      <x/>
    </i>
  </rowItems>
  <colItems count="1">
    <i/>
  </colItems>
  <dataFields count="1">
    <dataField name="Suma de Precio_Unitario" fld="5" baseField="0" baseItem="0" numFmtId="164"/>
  </dataFields>
  <chartFormats count="4">
    <chartFormat chart="2" format="8" series="1">
      <pivotArea type="data" outline="0" fieldPosition="0">
        <references count="1">
          <reference field="4294967294" count="1" selected="0">
            <x v="0"/>
          </reference>
        </references>
      </pivotArea>
    </chartFormat>
    <chartFormat chart="2" format="9">
      <pivotArea type="data" outline="0" fieldPosition="0">
        <references count="2">
          <reference field="4294967294" count="1" selected="0">
            <x v="0"/>
          </reference>
          <reference field="6" count="1" selected="0">
            <x v="0"/>
          </reference>
        </references>
      </pivotArea>
    </chartFormat>
    <chartFormat chart="2" format="10">
      <pivotArea type="data" outline="0" fieldPosition="0">
        <references count="2">
          <reference field="4294967294" count="1" selected="0">
            <x v="0"/>
          </reference>
          <reference field="6" count="1" selected="0">
            <x v="1"/>
          </reference>
        </references>
      </pivotArea>
    </chartFormat>
    <chartFormat chart="2" format="11">
      <pivotArea type="data" outline="0" fieldPosition="0">
        <references count="2">
          <reference field="4294967294" count="1" selected="0">
            <x v="0"/>
          </reference>
          <reference field="6"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81BD0905-45EC-4439-A12D-844D13F36845}" name="TablaDinámica1" cacheId="0" applyNumberFormats="0" applyBorderFormats="0" applyFontFormats="0" applyPatternFormats="0" applyAlignmentFormats="0" applyWidthHeightFormats="1" dataCaption="Valores" updatedVersion="8" minRefreshableVersion="3" useAutoFormatting="1" itemPrintTitles="1" createdVersion="8" indent="0" outline="1" outlineData="1" multipleFieldFilters="0" chartFormat="4">
  <location ref="A3:C9" firstHeaderRow="0" firstDataRow="1" firstDataCol="1"/>
  <pivotFields count="10">
    <pivotField showAll="0"/>
    <pivotField numFmtId="14" showAll="0">
      <items count="95">
        <item x="75"/>
        <item x="29"/>
        <item x="72"/>
        <item x="51"/>
        <item x="30"/>
        <item x="64"/>
        <item x="63"/>
        <item x="21"/>
        <item x="14"/>
        <item x="25"/>
        <item x="24"/>
        <item x="2"/>
        <item x="71"/>
        <item x="40"/>
        <item x="81"/>
        <item x="53"/>
        <item x="76"/>
        <item x="91"/>
        <item x="87"/>
        <item x="8"/>
        <item x="35"/>
        <item x="49"/>
        <item x="36"/>
        <item x="67"/>
        <item x="27"/>
        <item x="3"/>
        <item x="19"/>
        <item x="85"/>
        <item x="10"/>
        <item x="82"/>
        <item x="28"/>
        <item x="34"/>
        <item x="79"/>
        <item x="90"/>
        <item x="68"/>
        <item x="88"/>
        <item x="65"/>
        <item x="70"/>
        <item x="61"/>
        <item x="15"/>
        <item x="55"/>
        <item x="37"/>
        <item x="1"/>
        <item x="31"/>
        <item x="41"/>
        <item x="47"/>
        <item x="50"/>
        <item x="42"/>
        <item x="45"/>
        <item x="39"/>
        <item x="66"/>
        <item x="20"/>
        <item x="80"/>
        <item x="33"/>
        <item x="18"/>
        <item x="43"/>
        <item x="48"/>
        <item x="16"/>
        <item x="44"/>
        <item x="92"/>
        <item x="12"/>
        <item x="83"/>
        <item x="78"/>
        <item x="62"/>
        <item x="11"/>
        <item x="13"/>
        <item x="77"/>
        <item x="60"/>
        <item x="23"/>
        <item x="6"/>
        <item x="86"/>
        <item x="7"/>
        <item x="0"/>
        <item x="56"/>
        <item x="22"/>
        <item x="57"/>
        <item x="38"/>
        <item x="54"/>
        <item x="84"/>
        <item x="73"/>
        <item x="17"/>
        <item x="4"/>
        <item x="89"/>
        <item x="69"/>
        <item x="74"/>
        <item x="26"/>
        <item x="32"/>
        <item x="93"/>
        <item x="9"/>
        <item x="5"/>
        <item x="59"/>
        <item x="46"/>
        <item x="52"/>
        <item x="58"/>
        <item t="default"/>
      </items>
    </pivotField>
    <pivotField showAll="0"/>
    <pivotField showAll="0"/>
    <pivotField showAll="0"/>
    <pivotField dataField="1" numFmtId="164" showAll="0"/>
    <pivotField showAll="0">
      <items count="4">
        <item h="1" x="0"/>
        <item x="1"/>
        <item h="1" x="2"/>
        <item t="default"/>
      </items>
    </pivotField>
    <pivotField axis="axisRow" showAll="0">
      <items count="6">
        <item x="2"/>
        <item x="1"/>
        <item x="0"/>
        <item x="4"/>
        <item x="3"/>
        <item t="default"/>
      </items>
    </pivotField>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7"/>
  </rowFields>
  <rowItems count="6">
    <i>
      <x/>
    </i>
    <i>
      <x v="1"/>
    </i>
    <i>
      <x v="2"/>
    </i>
    <i>
      <x v="3"/>
    </i>
    <i>
      <x v="4"/>
    </i>
    <i t="grand">
      <x/>
    </i>
  </rowItems>
  <colFields count="1">
    <field x="-2"/>
  </colFields>
  <colItems count="2">
    <i>
      <x/>
    </i>
    <i i="1">
      <x v="1"/>
    </i>
  </colItems>
  <dataFields count="2">
    <dataField name="Suma de Precio_Unitario" fld="5" baseField="0" baseItem="0" numFmtId="164"/>
    <dataField name="Promedio de Precio_Unitario2" fld="5" subtotal="average" baseField="7" baseItem="2" numFmtId="164"/>
  </dataFields>
  <conditionalFormats count="1">
    <conditionalFormat priority="1">
      <pivotAreas count="1">
        <pivotArea type="data" collapsedLevelsAreSubtotals="1" fieldPosition="0">
          <references count="2">
            <reference field="4294967294" count="1" selected="0">
              <x v="0"/>
            </reference>
            <reference field="7" count="5">
              <x v="0"/>
              <x v="1"/>
              <x v="2"/>
              <x v="3"/>
              <x v="4"/>
            </reference>
          </references>
        </pivotArea>
      </pivotAreas>
    </conditionalFormat>
  </conditionalFormats>
  <chartFormats count="2">
    <chartFormat chart="3" format="2" series="1">
      <pivotArea type="data" outline="0" fieldPosition="0">
        <references count="1">
          <reference field="4294967294" count="1" selected="0">
            <x v="0"/>
          </reference>
        </references>
      </pivotArea>
    </chartFormat>
    <chartFormat chart="3" format="3"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egmentaciónDeDatos_Region" xr10:uid="{D9F6BF2F-53E4-481C-B9FA-A7685363007B}" sourceName="Region">
  <pivotTables>
    <pivotTable tabId="13" name="TablaDinámica1"/>
    <pivotTable tabId="13" name="TablaDinámica2"/>
    <pivotTable tabId="13" name="TablaDinámica3"/>
  </pivotTables>
  <data>
    <tabular pivotCacheId="1173870776">
      <items count="5">
        <i x="2" s="1"/>
        <i x="1" s="1"/>
        <i x="0" s="1"/>
        <i x="4" s="1"/>
        <i x="3"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egmentaciónDeDatos_Fecha_Operacion" xr10:uid="{640F6DA2-1EEB-42D0-9FCB-873EE2A68806}" sourceName="Fecha_Operacion">
  <pivotTables>
    <pivotTable tabId="13" name="TablaDinámica2"/>
    <pivotTable tabId="13" name="TablaDinámica1"/>
    <pivotTable tabId="13" name="TablaDinámica3"/>
  </pivotTables>
  <data>
    <tabular pivotCacheId="1173870776">
      <items count="94">
        <i x="75" s="1"/>
        <i x="14" s="1"/>
        <i x="81" s="1"/>
        <i x="8" s="1"/>
        <i x="85" s="1"/>
        <i x="55" s="1"/>
        <i x="37" s="1"/>
        <i x="66" s="1"/>
        <i x="16" s="1"/>
        <i x="44" s="1"/>
        <i x="77" s="1"/>
        <i x="7" s="1"/>
        <i x="57" s="1"/>
        <i x="73" s="1"/>
        <i x="89" s="1"/>
        <i x="74" s="1"/>
        <i x="26" s="1"/>
        <i x="93" s="1"/>
        <i x="59" s="1"/>
        <i x="29" s="1" nd="1"/>
        <i x="72" s="1" nd="1"/>
        <i x="51" s="1" nd="1"/>
        <i x="30" s="1" nd="1"/>
        <i x="64" s="1" nd="1"/>
        <i x="63" s="1" nd="1"/>
        <i x="21" s="1" nd="1"/>
        <i x="25" s="1" nd="1"/>
        <i x="24" s="1" nd="1"/>
        <i x="2" s="1" nd="1"/>
        <i x="71" s="1" nd="1"/>
        <i x="40" s="1" nd="1"/>
        <i x="53" s="1" nd="1"/>
        <i x="76" s="1" nd="1"/>
        <i x="91" s="1" nd="1"/>
        <i x="87" s="1" nd="1"/>
        <i x="35" s="1" nd="1"/>
        <i x="49" s="1" nd="1"/>
        <i x="36" s="1" nd="1"/>
        <i x="67" s="1" nd="1"/>
        <i x="27" s="1" nd="1"/>
        <i x="3" s="1" nd="1"/>
        <i x="19" s="1" nd="1"/>
        <i x="10" s="1" nd="1"/>
        <i x="82" s="1" nd="1"/>
        <i x="28" s="1" nd="1"/>
        <i x="34" s="1" nd="1"/>
        <i x="79" s="1" nd="1"/>
        <i x="90" s="1" nd="1"/>
        <i x="68" s="1" nd="1"/>
        <i x="88" s="1" nd="1"/>
        <i x="65" s="1" nd="1"/>
        <i x="70" s="1" nd="1"/>
        <i x="61" s="1" nd="1"/>
        <i x="15" s="1" nd="1"/>
        <i x="1" s="1" nd="1"/>
        <i x="31" s="1" nd="1"/>
        <i x="41" s="1" nd="1"/>
        <i x="47" s="1" nd="1"/>
        <i x="50" s="1" nd="1"/>
        <i x="42" s="1" nd="1"/>
        <i x="45" s="1" nd="1"/>
        <i x="39" s="1" nd="1"/>
        <i x="20" s="1" nd="1"/>
        <i x="80" s="1" nd="1"/>
        <i x="33" s="1" nd="1"/>
        <i x="18" s="1" nd="1"/>
        <i x="43" s="1" nd="1"/>
        <i x="48" s="1" nd="1"/>
        <i x="92" s="1" nd="1"/>
        <i x="12" s="1" nd="1"/>
        <i x="83" s="1" nd="1"/>
        <i x="78" s="1" nd="1"/>
        <i x="62" s="1" nd="1"/>
        <i x="11" s="1" nd="1"/>
        <i x="13" s="1" nd="1"/>
        <i x="60" s="1" nd="1"/>
        <i x="23" s="1" nd="1"/>
        <i x="6" s="1" nd="1"/>
        <i x="86" s="1" nd="1"/>
        <i x="0" s="1" nd="1"/>
        <i x="56" s="1" nd="1"/>
        <i x="22" s="1" nd="1"/>
        <i x="38" s="1" nd="1"/>
        <i x="54" s="1" nd="1"/>
        <i x="84" s="1" nd="1"/>
        <i x="17" s="1" nd="1"/>
        <i x="4" s="1" nd="1"/>
        <i x="69" s="1" nd="1"/>
        <i x="32" s="1" nd="1"/>
        <i x="9" s="1" nd="1"/>
        <i x="5" s="1" nd="1"/>
        <i x="46" s="1" nd="1"/>
        <i x="52" s="1" nd="1"/>
        <i x="58" s="1" nd="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egmentaciónDeDatos_Categoria" xr10:uid="{F1F7D909-4346-4AD3-993A-C0A246546636}" sourceName="Categoria">
  <pivotTables>
    <pivotTable tabId="13" name="TablaDinámica1"/>
    <pivotTable tabId="13" name="TablaDinámica2"/>
    <pivotTable tabId="13" name="TablaDinámica3"/>
  </pivotTables>
  <data>
    <tabular pivotCacheId="1173870776">
      <items count="3">
        <i x="0"/>
        <i x="1" s="1"/>
        <i x="2"/>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1" xr10:uid="{C32DEC5B-55E1-411F-A5A8-CAD037A29C6A}" cache="SegmentaciónDeDatos_Region" caption="Region" style="SlicerStyleOther1" rowHeight="241300"/>
  <slicer name="Fecha_Operacion 1" xr10:uid="{8782D0FC-B8F2-4D23-B4C1-30B4CF29FF8D}" cache="SegmentaciónDeDatos_Fecha_Operacion" caption="Fecha_Operacion" style="SlicerStyleOther1" rowHeight="241300"/>
  <slicer name="Categoria" xr10:uid="{3D653577-E0AE-4B79-BCEC-095061713E0B}" cache="SegmentaciónDeDatos_Categoria" caption="Categoria" style="SlicerStyleOther1"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D546007A-7CA6-47F4-8312-9DD3233687F8}" cache="SegmentaciónDeDatos_Region" caption="Region" rowHeight="241300"/>
  <slicer name="Fecha_Operacion" xr10:uid="{7157DAEA-A0BD-4FF0-A545-B96C9E3DD695}" cache="SegmentaciónDeDatos_Fecha_Operacion" caption="Fecha_Operacion" startItem="6"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7974C8B7-0E71-4D8B-99BC-2D0A30DEBB5F}" name="Tabla1" displayName="Tabla1" ref="A1:H101" totalsRowShown="0" headerRowDxfId="48" dataDxfId="47">
  <autoFilter ref="A1:H101" xr:uid="{7974C8B7-0E71-4D8B-99BC-2D0A30DEBB5F}">
    <filterColumn colId="6">
      <filters>
        <filter val="Linea blanca"/>
      </filters>
    </filterColumn>
  </autoFilter>
  <sortState xmlns:xlrd2="http://schemas.microsoft.com/office/spreadsheetml/2017/richdata2" ref="A2:F101">
    <sortCondition ref="A1:A101"/>
  </sortState>
  <tableColumns count="8">
    <tableColumn id="2" xr3:uid="{3A3A270E-3CDF-4AD5-860B-EAFA457C2AD2}" name="ID_Transaccion" dataDxfId="46"/>
    <tableColumn id="1" xr3:uid="{DB47FDA3-50F7-4DF5-9F4B-A87F38B5C5AC}" name="Fecha_Operacion" dataDxfId="45"/>
    <tableColumn id="4" xr3:uid="{1108DC3A-62CB-4A9F-8359-4E743E92450B}" name="ID_Cliente_Ref" dataDxfId="44"/>
    <tableColumn id="3" xr3:uid="{2A93328E-3D76-49F6-8051-BFFD634BE6B6}" name="SKU_Codigo_Ref" dataDxfId="43"/>
    <tableColumn id="5" xr3:uid="{2590AB44-6F15-4CC7-9524-A900B9DA57A8}" name="Cantidad" dataDxfId="42"/>
    <tableColumn id="6" xr3:uid="{E5CD21C7-B5B9-4825-B1F7-A60853344BA4}" name="Precio_Unitario" dataDxfId="41"/>
    <tableColumn id="7" xr3:uid="{F90813CA-DDEE-47DE-979C-C10EFF30742A}" name="Categoria" dataDxfId="40">
      <calculatedColumnFormula>_xlfn.XLOOKUP(D2,Productos!A:A,Productos!C:C,"Sin categoria")</calculatedColumnFormula>
    </tableColumn>
    <tableColumn id="8" xr3:uid="{F29CDE0A-A2C6-4176-AD2F-94BA55358AF5}" name="Region" dataDxfId="39">
      <calculatedColumnFormula>_xlfn.XLOOKUP(C2,Clientes!A:A,Clientes!C:C,"Sin Region")</calculatedColumnFormula>
    </tableColumn>
  </tableColumns>
  <tableStyleInfo name="TableStyleMedium9"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7330F875-8614-430E-B91C-E6EC17B59EB4}" name="Tabla7" displayName="Tabla7" ref="A1:C101" totalsRowShown="0" headerRowDxfId="38" dataDxfId="37">
  <autoFilter ref="A1:C101" xr:uid="{7330F875-8614-430E-B91C-E6EC17B59EB4}"/>
  <tableColumns count="3">
    <tableColumn id="1" xr3:uid="{50FDC671-D733-47D5-804A-776A1A5A1E85}" name="ID_Cliente_Clave" dataDxfId="36"/>
    <tableColumn id="2" xr3:uid="{30188F11-90ED-4CCB-9F62-F6DE4A9D8820}" name="Nombre_RazonSocial" dataDxfId="35"/>
    <tableColumn id="3" xr3:uid="{419432F8-4E8D-49B7-A1D5-B031F001CAC8}" name="Region_Geografica" dataDxfId="34"/>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BCFFA72D-8907-4FA3-97E1-BB03D163CC47}" name="Tabla6" displayName="Tabla6" ref="A1:C9" totalsRowShown="0" headerRowDxfId="33" dataDxfId="32">
  <autoFilter ref="A1:C9" xr:uid="{BCFFA72D-8907-4FA3-97E1-BB03D163CC47}"/>
  <tableColumns count="3">
    <tableColumn id="1" xr3:uid="{AC3EBEB9-9925-433C-A62C-774C1E98DC5D}" name="SKU_Clave" dataDxfId="31"/>
    <tableColumn id="2" xr3:uid="{60828C2A-E50C-4F1E-9D0B-37ABFC0A17C1}" name="Producto_Descripcion" dataDxfId="30"/>
    <tableColumn id="3" xr3:uid="{70B945C7-8077-4C0A-849E-CD1C4BEE91E4}" name="Categoria_Agrupador" dataDxfId="29"/>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CA6BE24A-C6EB-44D7-B000-DDCBC86B6B3E}" name="Tabla13" displayName="Tabla13" ref="C3:J103" totalsRowShown="0" headerRowDxfId="28" dataDxfId="27">
  <autoFilter ref="C3:J103" xr:uid="{CA6BE24A-C6EB-44D7-B000-DDCBC86B6B3E}"/>
  <sortState xmlns:xlrd2="http://schemas.microsoft.com/office/spreadsheetml/2017/richdata2" ref="C4:H103">
    <sortCondition ref="C1:C101"/>
  </sortState>
  <tableColumns count="8">
    <tableColumn id="2" xr3:uid="{BE24B07C-843A-451C-AB96-0E43DC8BAC68}" name="ID_Transaccion" dataDxfId="26"/>
    <tableColumn id="1" xr3:uid="{AEF747FA-E54C-4F17-96AA-7BF3EBE3B960}" name="Fecha_Operacion" dataDxfId="25"/>
    <tableColumn id="4" xr3:uid="{F885F703-5A0B-47E6-BA65-B8A3CFA1325A}" name="ID_Cliente_Ref" dataDxfId="24"/>
    <tableColumn id="3" xr3:uid="{6D86FA6E-C9BD-49B8-8922-1AAB0E06D85C}" name="SKU_Codigo_Ref" dataDxfId="23"/>
    <tableColumn id="5" xr3:uid="{8051CD85-8F9A-4F71-ABBF-FEE213D860B6}" name="Cantidad" dataDxfId="22"/>
    <tableColumn id="6" xr3:uid="{6FB6B19F-76D8-4ECD-A543-53AC9D4CDD69}" name="Precio_Unitario" dataDxfId="21"/>
    <tableColumn id="8" xr3:uid="{5A7E2926-1A73-44B0-AE69-526BD4008757}" name="Total" dataDxfId="20">
      <calculatedColumnFormula>Tabla13[[#This Row],[Cantidad]]*Tabla13[[#This Row],[Precio_Unitario]]</calculatedColumnFormula>
    </tableColumn>
    <tableColumn id="9" xr3:uid="{7D08F96C-02E1-4B42-97A4-79F91121B85A}" name="Comisión" dataDxfId="19">
      <calculatedColumnFormula>IF(AND(I4&gt;3000000,G4&gt;=5),I4*0.06,IF(I4&gt;1000000,I4*0.04,I4*0.02))</calculatedColumnFormula>
    </tableColumn>
  </tableColumns>
  <tableStyleInfo name="TableStyleMedium9"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38529AE0-B09F-42C3-8712-CC08FC6A202A}" name="Tabla3" displayName="Tabla3" ref="P3:Q15" totalsRowShown="0">
  <autoFilter ref="P3:Q15" xr:uid="{38529AE0-B09F-42C3-8712-CC08FC6A202A}"/>
  <tableColumns count="2">
    <tableColumn id="1" xr3:uid="{3D18F43B-458D-4460-A2FE-51B86A68C16C}" name="Mes" dataDxfId="18">
      <calculatedColumnFormula>EDATE(P3,1)</calculatedColumnFormula>
    </tableColumn>
    <tableColumn id="2" xr3:uid="{E5B09A01-E0C6-4DC8-8913-04A425AC1105}" name="Total_Mensual" dataDxfId="17">
      <calculatedColumnFormula>SUMIFS($I$4:$I$103,$D$4:$D$103,"&gt;="&amp;P4,$D$4:$D$103,"&lt;"&amp;EDATE(P4,1))</calculatedColumnFormula>
    </tableColumn>
  </tableColumns>
  <tableStyleInfo name="TableStyleMedium2"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989AE7B-C0E5-4063-B4AA-0F3187F43F19}" name="Tabla4" displayName="Tabla4" ref="A1:F17" totalsRowShown="0">
  <autoFilter ref="A1:F17" xr:uid="{0989AE7B-C0E5-4063-B4AA-0F3187F43F19}"/>
  <tableColumns count="6">
    <tableColumn id="1" xr3:uid="{0A2386A6-5EC4-4B7E-8E77-8394BE70ED3E}" name="Mes" dataDxfId="16"/>
    <tableColumn id="2" xr3:uid="{DCA6DA58-B165-45A1-AE56-8F1B9DBB6B50}" name="Total_Mensual"/>
    <tableColumn id="3" xr3:uid="{36724587-38BC-4666-9571-5634F4148E28}" name="Previsión(Total_Mensual)" dataDxfId="15">
      <calculatedColumnFormula>_xlfn.FORECAST.ETS(A2,$B$2:$B$13,$A$2:$A$13,1,1)</calculatedColumnFormula>
    </tableColumn>
    <tableColumn id="4" xr3:uid="{539D6EFF-0644-48BB-BCC0-1D7707EF1D3A}" name="Intervalo de confianza(Total_Mensual)" dataDxfId="14">
      <calculatedColumnFormula>_xlfn.FORECAST.ETS.CONFINT(A2,$B$2:$B$13,$A$2:$A$13,0.95,1,1)</calculatedColumnFormula>
    </tableColumn>
    <tableColumn id="5" xr3:uid="{8123215E-873B-42DC-BF68-F491150CAE73}" name="Límite_Inferior" dataDxfId="13">
      <calculatedColumnFormula>IF(C2="","",C2-D2)</calculatedColumnFormula>
    </tableColumn>
    <tableColumn id="6" xr3:uid="{0E633A3E-A112-4BF5-9F64-E1C316105C14}" name="Límite_Superior" dataDxfId="12">
      <calculatedColumnFormula>IF(C2="","",C2+D2)</calculatedColumnFormula>
    </tableColumn>
  </tableColumns>
  <tableStyleInfo name="TableStyleMedium2"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064E08B4-D9B6-45D2-8CFB-1E1F9D23E9B5}" name="Tabla5" displayName="Tabla5" ref="A1:F4" totalsRowShown="0" headerRowDxfId="11" dataDxfId="10">
  <autoFilter ref="A1:F4" xr:uid="{064E08B4-D9B6-45D2-8CFB-1E1F9D23E9B5}"/>
  <tableColumns count="6">
    <tableColumn id="1" xr3:uid="{0425E99E-3178-4391-BD36-3730840D756E}" name="Categoria / Region" dataDxfId="9"/>
    <tableColumn id="2" xr3:uid="{333A4BA3-97E2-4F5B-8E33-6CF38CA829E3}" name="Bogotá" dataDxfId="8">
      <calculatedColumnFormula>SUMIFS(Tabla1[Precio_Unitario],Tabla1[Categoria],$A2,Tabla1[Region],B$1)</calculatedColumnFormula>
    </tableColumn>
    <tableColumn id="3" xr3:uid="{E5CA4D29-0200-40D7-82C4-338BEB166E6E}" name="Medellín" dataDxfId="7">
      <calculatedColumnFormula>SUMIFS(Tabla1[Precio_Unitario],Tabla1[Categoria],$A2,Tabla1[Region],C$1)</calculatedColumnFormula>
    </tableColumn>
    <tableColumn id="4" xr3:uid="{58ACF6A8-332F-4133-93CC-CD7BC881769C}" name="Cali" dataDxfId="6">
      <calculatedColumnFormula>SUMIFS(Tabla1[Precio_Unitario],Tabla1[Categoria],$A2,Tabla1[Region],D$1)</calculatedColumnFormula>
    </tableColumn>
    <tableColumn id="5" xr3:uid="{2138610F-A84B-4447-859D-0AD8E58A9EC9}" name="Barranquilla" dataDxfId="5">
      <calculatedColumnFormula>SUMIFS(Tabla1[Precio_Unitario],Tabla1[Categoria],$A2,Tabla1[Region],E$1)</calculatedColumnFormula>
    </tableColumn>
    <tableColumn id="6" xr3:uid="{39980BA0-8748-4B97-A623-9D9363513341}" name="Cartagena" dataDxfId="4">
      <calculatedColumnFormula>SUMIFS(Tabla1[Precio_Unitario],Tabla1[Categoria],$A2,Tabla1[Region],F$1)</calculatedColumnFormula>
    </tableColumn>
  </tableColumns>
  <tableStyleInfo name="TableStyleMedium2"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63106D7E-CB3F-4830-A58A-C2CD48987E05}" name="Tabla9" displayName="Tabla9" ref="A1:C101" totalsRowShown="0" headerRowDxfId="3">
  <autoFilter ref="A1:C101" xr:uid="{63106D7E-CB3F-4830-A58A-C2CD48987E05}"/>
  <tableColumns count="3">
    <tableColumn id="1" xr3:uid="{B02646EE-3DA0-4628-9901-15B84771E4DD}" name="Feriados_2026"/>
    <tableColumn id="2" xr3:uid="{65AB1CD8-8388-47DD-AE26-915F6773A942}" name="ID_Transaccion">
      <calculatedColumnFormula>Hechos_Transacciones!A2</calculatedColumnFormula>
    </tableColumn>
    <tableColumn id="3" xr3:uid="{E51B63F9-F500-483D-AAB1-27579AF9535F}" name="Fecha_Vencimiento" dataDxfId="2">
      <calculatedColumnFormula>WORKDAY(Hechos_Transacciones!B2,30,$A$2:$A$13)</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threadedComments/threadedComment1.xml><?xml version="1.0" encoding="utf-8"?>
<ThreadedComments xmlns="http://schemas.microsoft.com/office/spreadsheetml/2018/threadedcomments" xmlns:x="http://schemas.openxmlformats.org/spreadsheetml/2006/main">
  <threadedComment ref="A1" dT="2026-08-18T03:27:13.73" personId="{E2459C94-37A9-4BFA-B303-170D35ABC62F}" id="{D67072D8-22E6-4C27-AB63-024D3526DE79}">
    <text>Contraseña de la hoja: CODERHOUSE</text>
  </threadedComment>
</ThreadedComments>
</file>

<file path=xl/worksheets/_rels/sheet1.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5" Type="http://schemas.microsoft.com/office/2007/relationships/slicer" Target="../slicers/slicer2.xml"/><Relationship Id="rId4" Type="http://schemas.openxmlformats.org/officeDocument/2006/relationships/drawing" Target="../drawings/drawing2.xml"/></Relationships>
</file>

<file path=xl/worksheets/_rels/sheet4.xml.rels><?xml version="1.0" encoding="UTF-8" standalone="yes"?>
<Relationships xmlns="http://schemas.openxmlformats.org/package/2006/relationships"><Relationship Id="rId1" Type="http://schemas.openxmlformats.org/officeDocument/2006/relationships/table" Target="../tables/table2.xml"/></Relationships>
</file>

<file path=xl/worksheets/_rels/sheet5.xml.rels><?xml version="1.0" encoding="UTF-8" standalone="yes"?>
<Relationships xmlns="http://schemas.openxmlformats.org/package/2006/relationships"><Relationship Id="rId1" Type="http://schemas.openxmlformats.org/officeDocument/2006/relationships/table" Target="../tables/table3.xml"/></Relationships>
</file>

<file path=xl/worksheets/_rels/sheet6.xml.rels><?xml version="1.0" encoding="UTF-8" standalone="yes"?>
<Relationships xmlns="http://schemas.openxmlformats.org/package/2006/relationships"><Relationship Id="rId2" Type="http://schemas.openxmlformats.org/officeDocument/2006/relationships/table" Target="../tables/table5.xml"/><Relationship Id="rId1" Type="http://schemas.openxmlformats.org/officeDocument/2006/relationships/table" Target="../tables/table4.xml"/></Relationships>
</file>

<file path=xl/worksheets/_rels/sheet7.xml.rels><?xml version="1.0" encoding="UTF-8" standalone="yes"?>
<Relationships xmlns="http://schemas.openxmlformats.org/package/2006/relationships"><Relationship Id="rId2" Type="http://schemas.openxmlformats.org/officeDocument/2006/relationships/table" Target="../tables/table6.xml"/><Relationship Id="rId1" Type="http://schemas.openxmlformats.org/officeDocument/2006/relationships/drawing" Target="../drawings/drawing3.xml"/></Relationships>
</file>

<file path=xl/worksheets/_rels/sheet8.xml.rels><?xml version="1.0" encoding="UTF-8" standalone="yes"?>
<Relationships xmlns="http://schemas.openxmlformats.org/package/2006/relationships"><Relationship Id="rId3" Type="http://schemas.microsoft.com/office/2017/10/relationships/threadedComment" Target="../threadedComments/threadedComment1.xml"/><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11.xml.rels><?xml version="1.0" encoding="UTF-8" standalone="yes"?>
<Relationships xmlns="http://schemas.openxmlformats.org/package/2006/relationships"><Relationship Id="rId1" Type="http://schemas.openxmlformats.org/officeDocument/2006/relationships/table" Target="../tables/table7.xml"/></Relationships>
</file>

<file path=xl/worksheets/_rels/sheet12.xml.rels><?xml version="1.0" encoding="UTF-8" standalone="yes"?>
<Relationships xmlns="http://schemas.openxmlformats.org/package/2006/relationships"><Relationship Id="rId1" Type="http://schemas.openxmlformats.org/officeDocument/2006/relationships/table" Target="../tables/table8.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081B75-07E5-4C04-9E34-EB641F43C233}">
  <sheetPr>
    <tabColor rgb="FF00B0F0"/>
  </sheetPr>
  <dimension ref="B2:J7"/>
  <sheetViews>
    <sheetView showGridLines="0" tabSelected="1" zoomScaleNormal="100" workbookViewId="0">
      <selection activeCell="F6" sqref="F6"/>
    </sheetView>
  </sheetViews>
  <sheetFormatPr baseColWidth="10" defaultRowHeight="16.5" x14ac:dyDescent="0.3"/>
  <cols>
    <col min="1" max="1" width="31.85546875" style="47" customWidth="1"/>
    <col min="2" max="2" width="30.85546875" style="47" bestFit="1" customWidth="1"/>
    <col min="3" max="4" width="11.42578125" style="47"/>
    <col min="5" max="5" width="20.5703125" style="47" bestFit="1" customWidth="1"/>
    <col min="6" max="7" width="11.42578125" style="47"/>
    <col min="8" max="8" width="17.28515625" style="47" customWidth="1"/>
    <col min="9" max="16384" width="11.42578125" style="47"/>
  </cols>
  <sheetData>
    <row r="2" spans="2:10" ht="25.5" x14ac:dyDescent="0.5">
      <c r="B2" s="45" t="s">
        <v>384</v>
      </c>
    </row>
    <row r="3" spans="2:10" x14ac:dyDescent="0.3">
      <c r="B3" s="46" t="s">
        <v>385</v>
      </c>
    </row>
    <row r="5" spans="2:10" x14ac:dyDescent="0.3">
      <c r="B5" s="55" t="s">
        <v>386</v>
      </c>
      <c r="C5" s="48"/>
      <c r="D5" s="49"/>
      <c r="E5" s="55" t="s">
        <v>387</v>
      </c>
      <c r="F5" s="48"/>
      <c r="G5" s="49"/>
      <c r="H5" s="55" t="s">
        <v>388</v>
      </c>
      <c r="I5" s="48"/>
      <c r="J5" s="49"/>
    </row>
    <row r="6" spans="2:10" ht="26.25" x14ac:dyDescent="0.45">
      <c r="B6" s="56">
        <f>GETPIVOTDATA("Precio_Unitario",Dashboard!$A$3)</f>
        <v>8647405</v>
      </c>
      <c r="C6" s="50"/>
      <c r="D6" s="51"/>
      <c r="E6" s="56">
        <f>GETPIVOTDATA("Promedio de Precio_Unitario2",Dashboard!$A$3)</f>
        <v>432370.25</v>
      </c>
      <c r="F6" s="50"/>
      <c r="G6" s="51"/>
      <c r="H6" s="57">
        <f>GETPIVOTDATA("Precio_Unitario",Dashboard!$A$3)/50000000</f>
        <v>0.17294809999999999</v>
      </c>
      <c r="I6" s="50"/>
      <c r="J6" s="51"/>
    </row>
    <row r="7" spans="2:10" x14ac:dyDescent="0.3">
      <c r="B7" s="52"/>
      <c r="C7" s="53"/>
      <c r="D7" s="54"/>
      <c r="E7" s="52"/>
      <c r="F7" s="53"/>
      <c r="G7" s="54"/>
      <c r="H7" s="52"/>
      <c r="I7" s="53"/>
      <c r="J7" s="54"/>
    </row>
  </sheetData>
  <conditionalFormatting sqref="H6">
    <cfRule type="cellIs" dxfId="1" priority="1" operator="lessThan">
      <formula>0.8</formula>
    </cfRule>
    <cfRule type="cellIs" dxfId="0" priority="2" operator="greaterThanOrEqual">
      <formula>0.8</formula>
    </cfRule>
  </conditionalFormatting>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92D050"/>
  </sheetPr>
  <dimension ref="A1:H1351"/>
  <sheetViews>
    <sheetView workbookViewId="0">
      <selection activeCell="F1" sqref="F1"/>
    </sheetView>
  </sheetViews>
  <sheetFormatPr baseColWidth="10" defaultColWidth="14.42578125" defaultRowHeight="15" customHeight="1" x14ac:dyDescent="0.25"/>
  <cols>
    <col min="1" max="1" width="16.28515625" style="3" customWidth="1"/>
    <col min="2" max="2" width="18.42578125" style="7" customWidth="1"/>
    <col min="3" max="3" width="17.7109375" style="3" customWidth="1"/>
    <col min="6" max="6" width="16.42578125" style="3" customWidth="1"/>
    <col min="7" max="7" width="16.85546875" style="5" customWidth="1"/>
    <col min="8" max="8" width="14.42578125" style="6" customWidth="1"/>
  </cols>
  <sheetData>
    <row r="1" spans="1:8" x14ac:dyDescent="0.25">
      <c r="A1" s="2" t="s">
        <v>1</v>
      </c>
      <c r="B1" s="8" t="s">
        <v>0</v>
      </c>
      <c r="C1" s="2" t="s">
        <v>3</v>
      </c>
      <c r="D1" s="2" t="s">
        <v>2</v>
      </c>
      <c r="E1" s="2" t="s">
        <v>4</v>
      </c>
      <c r="F1" s="4" t="s">
        <v>5</v>
      </c>
      <c r="G1" s="2" t="s">
        <v>354</v>
      </c>
      <c r="H1" s="2" t="s">
        <v>352</v>
      </c>
    </row>
    <row r="2" spans="1:8" hidden="1" x14ac:dyDescent="0.25">
      <c r="A2" s="2" t="s">
        <v>6</v>
      </c>
      <c r="B2" s="9">
        <v>46324</v>
      </c>
      <c r="C2" s="2" t="s">
        <v>8</v>
      </c>
      <c r="D2" s="2" t="s">
        <v>7</v>
      </c>
      <c r="E2" s="2">
        <v>7</v>
      </c>
      <c r="F2" s="4">
        <v>401778</v>
      </c>
      <c r="G2" s="2" t="str">
        <f>_xlfn.XLOOKUP(D2,Productos!A:A,Productos!C:C,"Sin categoria")</f>
        <v>Electrónica</v>
      </c>
      <c r="H2" s="2" t="str">
        <f>_xlfn.XLOOKUP(C2,Clientes!A:A,Clientes!C:C,"Sin Region")</f>
        <v>Cali</v>
      </c>
    </row>
    <row r="3" spans="1:8" hidden="1" x14ac:dyDescent="0.25">
      <c r="A3" s="2" t="s">
        <v>9</v>
      </c>
      <c r="B3" s="8">
        <v>46217</v>
      </c>
      <c r="C3" s="2" t="s">
        <v>21</v>
      </c>
      <c r="D3" s="2" t="s">
        <v>10</v>
      </c>
      <c r="E3" s="2">
        <v>1</v>
      </c>
      <c r="F3" s="4">
        <v>810179</v>
      </c>
      <c r="G3" s="2" t="str">
        <f>_xlfn.XLOOKUP(D3,Productos!A:A,Productos!C:C,"Sin categoria")</f>
        <v>Electrónica</v>
      </c>
      <c r="H3" s="2" t="str">
        <f>_xlfn.XLOOKUP(C3,Clientes!A:A,Clientes!C:C,"Sin Region")</f>
        <v>Bogotá</v>
      </c>
    </row>
    <row r="4" spans="1:8" hidden="1" x14ac:dyDescent="0.25">
      <c r="A4" s="2" t="s">
        <v>12</v>
      </c>
      <c r="B4" s="8">
        <v>46063</v>
      </c>
      <c r="C4" s="2" t="s">
        <v>11</v>
      </c>
      <c r="D4" s="2" t="s">
        <v>7</v>
      </c>
      <c r="E4" s="2">
        <v>4</v>
      </c>
      <c r="F4" s="4">
        <v>783797</v>
      </c>
      <c r="G4" s="2" t="str">
        <f>_xlfn.XLOOKUP(D4,Productos!A:A,Productos!C:C,"Sin categoria")</f>
        <v>Electrónica</v>
      </c>
      <c r="H4" s="2" t="str">
        <f>_xlfn.XLOOKUP(C4,Clientes!A:A,Clientes!C:C,"Sin Region")</f>
        <v>Bogotá</v>
      </c>
    </row>
    <row r="5" spans="1:8" hidden="1" x14ac:dyDescent="0.25">
      <c r="A5" s="2" t="s">
        <v>14</v>
      </c>
      <c r="B5" s="9">
        <v>46142</v>
      </c>
      <c r="C5" s="2" t="s">
        <v>15</v>
      </c>
      <c r="D5" s="2" t="s">
        <v>10</v>
      </c>
      <c r="E5" s="2">
        <v>6</v>
      </c>
      <c r="F5" s="4">
        <v>215555</v>
      </c>
      <c r="G5" s="2" t="str">
        <f>_xlfn.XLOOKUP(D5,Productos!A:A,Productos!C:C,"Sin categoria")</f>
        <v>Electrónica</v>
      </c>
      <c r="H5" s="2" t="str">
        <f>_xlfn.XLOOKUP(C5,Clientes!A:A,Clientes!C:C,"Sin Region")</f>
        <v>Bogotá</v>
      </c>
    </row>
    <row r="6" spans="1:8" hidden="1" x14ac:dyDescent="0.25">
      <c r="A6" s="2" t="s">
        <v>16</v>
      </c>
      <c r="B6" s="8">
        <v>46354</v>
      </c>
      <c r="C6" s="2" t="s">
        <v>13</v>
      </c>
      <c r="D6" s="2" t="s">
        <v>10</v>
      </c>
      <c r="E6" s="2">
        <v>4</v>
      </c>
      <c r="F6" s="4">
        <v>216339</v>
      </c>
      <c r="G6" s="2" t="str">
        <f>_xlfn.XLOOKUP(D6,Productos!A:A,Productos!C:C,"Sin categoria")</f>
        <v>Electrónica</v>
      </c>
      <c r="H6" s="2" t="str">
        <f>_xlfn.XLOOKUP(C6,Clientes!A:A,Clientes!C:C,"Sin Region")</f>
        <v>Cali</v>
      </c>
    </row>
    <row r="7" spans="1:8" hidden="1" x14ac:dyDescent="0.25">
      <c r="A7" s="2" t="s">
        <v>17</v>
      </c>
      <c r="B7" s="9">
        <v>46375</v>
      </c>
      <c r="C7" s="2" t="s">
        <v>141</v>
      </c>
      <c r="D7" s="2" t="s">
        <v>18</v>
      </c>
      <c r="E7" s="2">
        <v>4</v>
      </c>
      <c r="F7" s="4">
        <v>78659</v>
      </c>
      <c r="G7" s="2" t="str">
        <f>_xlfn.XLOOKUP(D7,Productos!A:A,Productos!C:C,"Sin categoria")</f>
        <v>Electrónica</v>
      </c>
      <c r="H7" s="2" t="str">
        <f>_xlfn.XLOOKUP(C7,Clientes!A:A,Clientes!C:C,"Sin Region")</f>
        <v>Cali</v>
      </c>
    </row>
    <row r="8" spans="1:8" hidden="1" x14ac:dyDescent="0.25">
      <c r="A8" s="2" t="s">
        <v>19</v>
      </c>
      <c r="B8" s="9">
        <v>46313</v>
      </c>
      <c r="C8" s="2" t="s">
        <v>142</v>
      </c>
      <c r="D8" s="2" t="s">
        <v>20</v>
      </c>
      <c r="E8" s="2">
        <v>11</v>
      </c>
      <c r="F8" s="4">
        <v>526141</v>
      </c>
      <c r="G8" s="2" t="str">
        <f>_xlfn.XLOOKUP(D8,Productos!A:A,Productos!C:C,"Sin categoria")</f>
        <v>Electrónica</v>
      </c>
      <c r="H8" s="2" t="str">
        <f>_xlfn.XLOOKUP(C8,Clientes!A:A,Clientes!C:C,"Sin Region")</f>
        <v>Barranquilla</v>
      </c>
    </row>
    <row r="9" spans="1:8" hidden="1" x14ac:dyDescent="0.25">
      <c r="A9" s="2" t="s">
        <v>22</v>
      </c>
      <c r="B9" s="9">
        <v>46322</v>
      </c>
      <c r="C9" s="2" t="s">
        <v>143</v>
      </c>
      <c r="D9" s="2" t="s">
        <v>23</v>
      </c>
      <c r="E9" s="2">
        <v>3</v>
      </c>
      <c r="F9" s="4">
        <v>579277</v>
      </c>
      <c r="G9" s="2" t="str">
        <f>_xlfn.XLOOKUP(D9,Productos!A:A,Productos!C:C,"Sin categoria")</f>
        <v>Hogar</v>
      </c>
      <c r="H9" s="2" t="str">
        <f>_xlfn.XLOOKUP(C9,Clientes!A:A,Clientes!C:C,"Sin Region")</f>
        <v>Bogotá</v>
      </c>
    </row>
    <row r="10" spans="1:8" hidden="1" x14ac:dyDescent="0.25">
      <c r="A10" s="2" t="s">
        <v>24</v>
      </c>
      <c r="B10" s="8">
        <v>46104</v>
      </c>
      <c r="C10" s="2" t="s">
        <v>144</v>
      </c>
      <c r="D10" s="2" t="s">
        <v>23</v>
      </c>
      <c r="E10" s="2">
        <v>8</v>
      </c>
      <c r="F10" s="4">
        <v>599816</v>
      </c>
      <c r="G10" s="2" t="str">
        <f>_xlfn.XLOOKUP(D10,Productos!A:A,Productos!C:C,"Sin categoria")</f>
        <v>Hogar</v>
      </c>
      <c r="H10" s="2" t="str">
        <f>_xlfn.XLOOKUP(C10,Clientes!A:A,Clientes!C:C,"Sin Region")</f>
        <v>Medellín</v>
      </c>
    </row>
    <row r="11" spans="1:8" hidden="1" x14ac:dyDescent="0.25">
      <c r="A11" s="2" t="s">
        <v>25</v>
      </c>
      <c r="B11" s="9">
        <v>46371</v>
      </c>
      <c r="C11" s="2" t="s">
        <v>145</v>
      </c>
      <c r="D11" s="2" t="s">
        <v>10</v>
      </c>
      <c r="E11" s="2">
        <v>6</v>
      </c>
      <c r="F11" s="4">
        <v>161970</v>
      </c>
      <c r="G11" s="2" t="str">
        <f>_xlfn.XLOOKUP(D11,Productos!A:A,Productos!C:C,"Sin categoria")</f>
        <v>Electrónica</v>
      </c>
      <c r="H11" s="2" t="str">
        <f>_xlfn.XLOOKUP(C11,Clientes!A:A,Clientes!C:C,"Sin Region")</f>
        <v>Bogotá</v>
      </c>
    </row>
    <row r="12" spans="1:8" x14ac:dyDescent="0.25">
      <c r="A12" s="2" t="s">
        <v>26</v>
      </c>
      <c r="B12" s="9">
        <v>46157</v>
      </c>
      <c r="C12" s="2" t="s">
        <v>146</v>
      </c>
      <c r="D12" s="2" t="s">
        <v>37</v>
      </c>
      <c r="E12" s="2">
        <v>5</v>
      </c>
      <c r="F12" s="4">
        <v>714987</v>
      </c>
      <c r="G12" s="2" t="str">
        <f>_xlfn.XLOOKUP(D12,Productos!A:A,Productos!C:C,"Sin categoria")</f>
        <v>Linea blanca</v>
      </c>
      <c r="H12" s="2" t="str">
        <f>_xlfn.XLOOKUP(C12,Clientes!A:A,Clientes!C:C,"Sin Region")</f>
        <v>Bogotá</v>
      </c>
    </row>
    <row r="13" spans="1:8" hidden="1" x14ac:dyDescent="0.25">
      <c r="A13" s="2" t="s">
        <v>27</v>
      </c>
      <c r="B13" s="9">
        <v>46294</v>
      </c>
      <c r="C13" s="2" t="s">
        <v>147</v>
      </c>
      <c r="D13" s="2" t="s">
        <v>28</v>
      </c>
      <c r="E13" s="2">
        <v>6</v>
      </c>
      <c r="F13" s="4">
        <v>367451</v>
      </c>
      <c r="G13" s="2" t="str">
        <f>_xlfn.XLOOKUP(D13,Productos!A:A,Productos!C:C,"Sin categoria")</f>
        <v>Electrónica</v>
      </c>
      <c r="H13" s="2" t="str">
        <f>_xlfn.XLOOKUP(C13,Clientes!A:A,Clientes!C:C,"Sin Region")</f>
        <v>Medellín</v>
      </c>
    </row>
    <row r="14" spans="1:8" hidden="1" x14ac:dyDescent="0.25">
      <c r="A14" s="2" t="s">
        <v>29</v>
      </c>
      <c r="B14" s="8">
        <v>46271</v>
      </c>
      <c r="C14" s="2" t="s">
        <v>148</v>
      </c>
      <c r="D14" s="2" t="s">
        <v>10</v>
      </c>
      <c r="E14" s="2">
        <v>8</v>
      </c>
      <c r="F14" s="4">
        <v>621510</v>
      </c>
      <c r="G14" s="2" t="str">
        <f>_xlfn.XLOOKUP(D14,Productos!A:A,Productos!C:C,"Sin categoria")</f>
        <v>Electrónica</v>
      </c>
      <c r="H14" s="2" t="str">
        <f>_xlfn.XLOOKUP(C14,Clientes!A:A,Clientes!C:C,"Sin Region")</f>
        <v>Bogotá</v>
      </c>
    </row>
    <row r="15" spans="1:8" hidden="1" x14ac:dyDescent="0.25">
      <c r="A15" s="2" t="s">
        <v>30</v>
      </c>
      <c r="B15" s="9">
        <v>46299</v>
      </c>
      <c r="C15" s="2" t="s">
        <v>149</v>
      </c>
      <c r="D15" s="2" t="s">
        <v>18</v>
      </c>
      <c r="E15" s="2">
        <v>6</v>
      </c>
      <c r="F15" s="4">
        <v>504381</v>
      </c>
      <c r="G15" s="2" t="str">
        <f>_xlfn.XLOOKUP(D15,Productos!A:A,Productos!C:C,"Sin categoria")</f>
        <v>Electrónica</v>
      </c>
      <c r="H15" s="2" t="str">
        <f>_xlfn.XLOOKUP(C15,Clientes!A:A,Clientes!C:C,"Sin Region")</f>
        <v>Bogotá</v>
      </c>
    </row>
    <row r="16" spans="1:8" hidden="1" x14ac:dyDescent="0.25">
      <c r="A16" s="2" t="s">
        <v>31</v>
      </c>
      <c r="B16" s="9">
        <v>46055</v>
      </c>
      <c r="C16" s="2" t="s">
        <v>150</v>
      </c>
      <c r="D16" s="2" t="s">
        <v>20</v>
      </c>
      <c r="E16" s="2">
        <v>4</v>
      </c>
      <c r="F16" s="4">
        <v>52540</v>
      </c>
      <c r="G16" s="2" t="str">
        <f>_xlfn.XLOOKUP(D16,Productos!A:A,Productos!C:C,"Sin categoria")</f>
        <v>Electrónica</v>
      </c>
      <c r="H16" s="2" t="str">
        <f>_xlfn.XLOOKUP(C16,Clientes!A:A,Clientes!C:C,"Sin Region")</f>
        <v>Cali</v>
      </c>
    </row>
    <row r="17" spans="1:8" hidden="1" x14ac:dyDescent="0.25">
      <c r="A17" s="2" t="s">
        <v>32</v>
      </c>
      <c r="B17" s="9">
        <v>46192</v>
      </c>
      <c r="C17" s="2" t="s">
        <v>151</v>
      </c>
      <c r="D17" s="2" t="s">
        <v>10</v>
      </c>
      <c r="E17" s="2">
        <v>4</v>
      </c>
      <c r="F17" s="4">
        <v>610427</v>
      </c>
      <c r="G17" s="2" t="str">
        <f>_xlfn.XLOOKUP(D17,Productos!A:A,Productos!C:C,"Sin categoria")</f>
        <v>Electrónica</v>
      </c>
      <c r="H17" s="2" t="str">
        <f>_xlfn.XLOOKUP(C17,Clientes!A:A,Clientes!C:C,"Sin Region")</f>
        <v>Medellín</v>
      </c>
    </row>
    <row r="18" spans="1:8" hidden="1" x14ac:dyDescent="0.25">
      <c r="A18" s="2" t="s">
        <v>33</v>
      </c>
      <c r="B18" s="9">
        <v>46265</v>
      </c>
      <c r="C18" s="2" t="s">
        <v>152</v>
      </c>
      <c r="D18" s="2" t="s">
        <v>23</v>
      </c>
      <c r="E18" s="2">
        <v>6</v>
      </c>
      <c r="F18" s="4">
        <v>489154</v>
      </c>
      <c r="G18" s="2" t="str">
        <f>_xlfn.XLOOKUP(D18,Productos!A:A,Productos!C:C,"Sin categoria")</f>
        <v>Hogar</v>
      </c>
      <c r="H18" s="2" t="str">
        <f>_xlfn.XLOOKUP(C18,Clientes!A:A,Clientes!C:C,"Sin Region")</f>
        <v>Bogotá</v>
      </c>
    </row>
    <row r="19" spans="1:8" hidden="1" x14ac:dyDescent="0.25">
      <c r="A19" s="2" t="s">
        <v>34</v>
      </c>
      <c r="B19" s="9">
        <v>46353</v>
      </c>
      <c r="C19" s="2" t="s">
        <v>153</v>
      </c>
      <c r="D19" s="2" t="s">
        <v>10</v>
      </c>
      <c r="E19" s="2">
        <v>2</v>
      </c>
      <c r="F19" s="4">
        <v>305735</v>
      </c>
      <c r="G19" s="2" t="str">
        <f>_xlfn.XLOOKUP(D19,Productos!A:A,Productos!C:C,"Sin categoria")</f>
        <v>Electrónica</v>
      </c>
      <c r="H19" s="2" t="str">
        <f>_xlfn.XLOOKUP(C19,Clientes!A:A,Clientes!C:C,"Sin Region")</f>
        <v>Medellín</v>
      </c>
    </row>
    <row r="20" spans="1:8" hidden="1" x14ac:dyDescent="0.25">
      <c r="A20" s="2" t="s">
        <v>35</v>
      </c>
      <c r="B20" s="8">
        <v>46259</v>
      </c>
      <c r="C20" s="2" t="s">
        <v>154</v>
      </c>
      <c r="D20" s="2" t="s">
        <v>18</v>
      </c>
      <c r="E20" s="2">
        <v>9</v>
      </c>
      <c r="F20" s="4">
        <v>147664</v>
      </c>
      <c r="G20" s="2" t="str">
        <f>_xlfn.XLOOKUP(D20,Productos!A:A,Productos!C:C,"Sin categoria")</f>
        <v>Electrónica</v>
      </c>
      <c r="H20" s="2" t="str">
        <f>_xlfn.XLOOKUP(C20,Clientes!A:A,Clientes!C:C,"Sin Region")</f>
        <v>Barranquilla</v>
      </c>
    </row>
    <row r="21" spans="1:8" ht="15.75" customHeight="1" x14ac:dyDescent="0.25">
      <c r="A21" s="2" t="s">
        <v>36</v>
      </c>
      <c r="B21" s="9">
        <v>46144</v>
      </c>
      <c r="C21" s="2" t="s">
        <v>155</v>
      </c>
      <c r="D21" s="2" t="s">
        <v>37</v>
      </c>
      <c r="E21" s="2">
        <v>7</v>
      </c>
      <c r="F21" s="4">
        <v>106483</v>
      </c>
      <c r="G21" s="2" t="str">
        <f>_xlfn.XLOOKUP(D21,Productos!A:A,Productos!C:C,"Sin categoria")</f>
        <v>Linea blanca</v>
      </c>
      <c r="H21" s="2" t="str">
        <f>_xlfn.XLOOKUP(C21,Clientes!A:A,Clientes!C:C,"Sin Region")</f>
        <v>Bogotá</v>
      </c>
    </row>
    <row r="22" spans="1:8" ht="15.75" hidden="1" customHeight="1" x14ac:dyDescent="0.25">
      <c r="A22" s="2" t="s">
        <v>38</v>
      </c>
      <c r="B22" s="9">
        <v>46255</v>
      </c>
      <c r="C22" s="2" t="s">
        <v>156</v>
      </c>
      <c r="D22" s="2" t="s">
        <v>7</v>
      </c>
      <c r="E22" s="2">
        <v>9</v>
      </c>
      <c r="F22" s="4">
        <v>739022</v>
      </c>
      <c r="G22" s="2" t="str">
        <f>_xlfn.XLOOKUP(D22,Productos!A:A,Productos!C:C,"Sin categoria")</f>
        <v>Electrónica</v>
      </c>
      <c r="H22" s="2" t="str">
        <f>_xlfn.XLOOKUP(C22,Clientes!A:A,Clientes!C:C,"Sin Region")</f>
        <v>Barranquilla</v>
      </c>
    </row>
    <row r="23" spans="1:8" ht="15.75" hidden="1" customHeight="1" x14ac:dyDescent="0.25">
      <c r="A23" s="2" t="s">
        <v>39</v>
      </c>
      <c r="B23" s="9">
        <v>46052</v>
      </c>
      <c r="C23" s="2" t="s">
        <v>157</v>
      </c>
      <c r="D23" s="2" t="s">
        <v>28</v>
      </c>
      <c r="E23" s="2">
        <v>9</v>
      </c>
      <c r="F23" s="4">
        <v>601926</v>
      </c>
      <c r="G23" s="2" t="str">
        <f>_xlfn.XLOOKUP(D23,Productos!A:A,Productos!C:C,"Sin categoria")</f>
        <v>Electrónica</v>
      </c>
      <c r="H23" s="2" t="str">
        <f>_xlfn.XLOOKUP(C23,Clientes!A:A,Clientes!C:C,"Sin Region")</f>
        <v>Cali</v>
      </c>
    </row>
    <row r="24" spans="1:8" ht="15.75" hidden="1" customHeight="1" x14ac:dyDescent="0.25">
      <c r="A24" s="2" t="s">
        <v>40</v>
      </c>
      <c r="B24" s="9">
        <v>46327</v>
      </c>
      <c r="C24" s="2" t="s">
        <v>158</v>
      </c>
      <c r="D24" s="2" t="s">
        <v>10</v>
      </c>
      <c r="E24" s="2">
        <v>10</v>
      </c>
      <c r="F24" s="4">
        <v>303175</v>
      </c>
      <c r="G24" s="2" t="str">
        <f>_xlfn.XLOOKUP(D24,Productos!A:A,Productos!C:C,"Sin categoria")</f>
        <v>Electrónica</v>
      </c>
      <c r="H24" s="2" t="str">
        <f>_xlfn.XLOOKUP(C24,Clientes!A:A,Clientes!C:C,"Sin Region")</f>
        <v>Bogotá</v>
      </c>
    </row>
    <row r="25" spans="1:8" ht="15.75" hidden="1" customHeight="1" x14ac:dyDescent="0.25">
      <c r="A25" s="2" t="s">
        <v>41</v>
      </c>
      <c r="B25" s="9">
        <v>46312</v>
      </c>
      <c r="C25" s="2" t="s">
        <v>159</v>
      </c>
      <c r="D25" s="2" t="s">
        <v>20</v>
      </c>
      <c r="E25" s="2">
        <v>4</v>
      </c>
      <c r="F25" s="4">
        <v>323517</v>
      </c>
      <c r="G25" s="2" t="str">
        <f>_xlfn.XLOOKUP(D25,Productos!A:A,Productos!C:C,"Sin categoria")</f>
        <v>Electrónica</v>
      </c>
      <c r="H25" s="2" t="str">
        <f>_xlfn.XLOOKUP(C25,Clientes!A:A,Clientes!C:C,"Sin Region")</f>
        <v>Bogotá</v>
      </c>
    </row>
    <row r="26" spans="1:8" ht="15.75" hidden="1" customHeight="1" x14ac:dyDescent="0.25">
      <c r="A26" s="2" t="s">
        <v>42</v>
      </c>
      <c r="B26" s="9">
        <v>46060</v>
      </c>
      <c r="C26" s="2" t="s">
        <v>160</v>
      </c>
      <c r="D26" s="2" t="s">
        <v>28</v>
      </c>
      <c r="E26" s="2">
        <v>2</v>
      </c>
      <c r="F26" s="4">
        <v>121819</v>
      </c>
      <c r="G26" s="2" t="str">
        <f>_xlfn.XLOOKUP(D26,Productos!A:A,Productos!C:C,"Sin categoria")</f>
        <v>Electrónica</v>
      </c>
      <c r="H26" s="2" t="str">
        <f>_xlfn.XLOOKUP(C26,Clientes!A:A,Clientes!C:C,"Sin Region")</f>
        <v>Cartagena</v>
      </c>
    </row>
    <row r="27" spans="1:8" ht="15.75" hidden="1" customHeight="1" x14ac:dyDescent="0.25">
      <c r="A27" s="2" t="s">
        <v>43</v>
      </c>
      <c r="B27" s="9">
        <v>46058</v>
      </c>
      <c r="C27" s="2" t="s">
        <v>161</v>
      </c>
      <c r="D27" s="2" t="s">
        <v>18</v>
      </c>
      <c r="E27" s="2">
        <v>9</v>
      </c>
      <c r="F27" s="4">
        <v>782715</v>
      </c>
      <c r="G27" s="2" t="str">
        <f>_xlfn.XLOOKUP(D27,Productos!A:A,Productos!C:C,"Sin categoria")</f>
        <v>Electrónica</v>
      </c>
      <c r="H27" s="2" t="str">
        <f>_xlfn.XLOOKUP(C27,Clientes!A:A,Clientes!C:C,"Sin Region")</f>
        <v>Bogotá</v>
      </c>
    </row>
    <row r="28" spans="1:8" ht="15.75" hidden="1" customHeight="1" x14ac:dyDescent="0.25">
      <c r="A28" s="2" t="s">
        <v>44</v>
      </c>
      <c r="B28" s="9">
        <v>46364</v>
      </c>
      <c r="C28" s="2" t="s">
        <v>162</v>
      </c>
      <c r="D28" s="2" t="s">
        <v>7</v>
      </c>
      <c r="E28" s="2">
        <v>2</v>
      </c>
      <c r="F28" s="4">
        <v>157235</v>
      </c>
      <c r="G28" s="2" t="str">
        <f>_xlfn.XLOOKUP(D28,Productos!A:A,Productos!C:C,"Sin categoria")</f>
        <v>Electrónica</v>
      </c>
      <c r="H28" s="2" t="str">
        <f>_xlfn.XLOOKUP(C28,Clientes!A:A,Clientes!C:C,"Sin Region")</f>
        <v>Bogotá</v>
      </c>
    </row>
    <row r="29" spans="1:8" ht="15.75" hidden="1" customHeight="1" x14ac:dyDescent="0.25">
      <c r="A29" s="2" t="s">
        <v>45</v>
      </c>
      <c r="B29" s="9">
        <v>46130</v>
      </c>
      <c r="C29" s="2" t="s">
        <v>163</v>
      </c>
      <c r="D29" s="2" t="s">
        <v>20</v>
      </c>
      <c r="E29" s="2">
        <v>9</v>
      </c>
      <c r="F29" s="4">
        <v>557262</v>
      </c>
      <c r="G29" s="2" t="str">
        <f>_xlfn.XLOOKUP(D29,Productos!A:A,Productos!C:C,"Sin categoria")</f>
        <v>Electrónica</v>
      </c>
      <c r="H29" s="2" t="str">
        <f>_xlfn.XLOOKUP(C29,Clientes!A:A,Clientes!C:C,"Sin Region")</f>
        <v>Bogotá</v>
      </c>
    </row>
    <row r="30" spans="1:8" ht="15.75" hidden="1" customHeight="1" x14ac:dyDescent="0.25">
      <c r="A30" s="2" t="s">
        <v>46</v>
      </c>
      <c r="B30" s="9">
        <v>46164</v>
      </c>
      <c r="C30" s="2" t="s">
        <v>164</v>
      </c>
      <c r="D30" s="2" t="s">
        <v>28</v>
      </c>
      <c r="E30" s="2">
        <v>5</v>
      </c>
      <c r="F30" s="4">
        <v>214430</v>
      </c>
      <c r="G30" s="2" t="str">
        <f>_xlfn.XLOOKUP(D30,Productos!A:A,Productos!C:C,"Sin categoria")</f>
        <v>Electrónica</v>
      </c>
      <c r="H30" s="2" t="str">
        <f>_xlfn.XLOOKUP(C30,Clientes!A:A,Clientes!C:C,"Sin Region")</f>
        <v>Barranquilla</v>
      </c>
    </row>
    <row r="31" spans="1:8" ht="15.75" hidden="1" customHeight="1" x14ac:dyDescent="0.25">
      <c r="A31" s="2" t="s">
        <v>47</v>
      </c>
      <c r="B31" s="9">
        <v>46027</v>
      </c>
      <c r="C31" s="2" t="s">
        <v>165</v>
      </c>
      <c r="D31" s="2" t="s">
        <v>10</v>
      </c>
      <c r="E31" s="2">
        <v>3</v>
      </c>
      <c r="F31" s="4">
        <v>617092</v>
      </c>
      <c r="G31" s="2" t="str">
        <f>_xlfn.XLOOKUP(D31,Productos!A:A,Productos!C:C,"Sin categoria")</f>
        <v>Electrónica</v>
      </c>
      <c r="H31" s="2" t="str">
        <f>_xlfn.XLOOKUP(C31,Clientes!A:A,Clientes!C:C,"Sin Region")</f>
        <v>Cali</v>
      </c>
    </row>
    <row r="32" spans="1:8" ht="15.75" hidden="1" customHeight="1" x14ac:dyDescent="0.25">
      <c r="A32" s="2" t="s">
        <v>48</v>
      </c>
      <c r="B32" s="9">
        <v>46044</v>
      </c>
      <c r="C32" s="2" t="s">
        <v>166</v>
      </c>
      <c r="D32" s="2" t="s">
        <v>7</v>
      </c>
      <c r="E32" s="2">
        <v>1</v>
      </c>
      <c r="F32" s="4">
        <v>420190</v>
      </c>
      <c r="G32" s="2" t="str">
        <f>_xlfn.XLOOKUP(D32,Productos!A:A,Productos!C:C,"Sin categoria")</f>
        <v>Electrónica</v>
      </c>
      <c r="H32" s="2" t="str">
        <f>_xlfn.XLOOKUP(C32,Clientes!A:A,Clientes!C:C,"Sin Region")</f>
        <v>Barranquilla</v>
      </c>
    </row>
    <row r="33" spans="1:8" ht="15.75" customHeight="1" x14ac:dyDescent="0.25">
      <c r="A33" s="2" t="s">
        <v>49</v>
      </c>
      <c r="B33" s="9">
        <v>46231</v>
      </c>
      <c r="C33" s="2" t="s">
        <v>167</v>
      </c>
      <c r="D33" s="2" t="s">
        <v>37</v>
      </c>
      <c r="E33" s="2">
        <v>3</v>
      </c>
      <c r="F33" s="4">
        <v>477322</v>
      </c>
      <c r="G33" s="2" t="str">
        <f>_xlfn.XLOOKUP(D33,Productos!A:A,Productos!C:C,"Sin categoria")</f>
        <v>Linea blanca</v>
      </c>
      <c r="H33" s="2" t="str">
        <f>_xlfn.XLOOKUP(C33,Clientes!A:A,Clientes!C:C,"Sin Region")</f>
        <v>Cali</v>
      </c>
    </row>
    <row r="34" spans="1:8" ht="15.75" hidden="1" customHeight="1" x14ac:dyDescent="0.25">
      <c r="A34" s="2" t="s">
        <v>50</v>
      </c>
      <c r="B34" s="9">
        <v>46365</v>
      </c>
      <c r="C34" s="2" t="s">
        <v>168</v>
      </c>
      <c r="D34" s="2" t="s">
        <v>18</v>
      </c>
      <c r="E34" s="2">
        <v>7</v>
      </c>
      <c r="F34" s="4">
        <v>85605</v>
      </c>
      <c r="G34" s="2" t="str">
        <f>_xlfn.XLOOKUP(D34,Productos!A:A,Productos!C:C,"Sin categoria")</f>
        <v>Electrónica</v>
      </c>
      <c r="H34" s="2" t="str">
        <f>_xlfn.XLOOKUP(C34,Clientes!A:A,Clientes!C:C,"Sin Region")</f>
        <v>Medellín</v>
      </c>
    </row>
    <row r="35" spans="1:8" ht="15.75" hidden="1" customHeight="1" x14ac:dyDescent="0.25">
      <c r="A35" s="2" t="s">
        <v>51</v>
      </c>
      <c r="B35" s="9">
        <v>46258</v>
      </c>
      <c r="C35" s="2" t="s">
        <v>169</v>
      </c>
      <c r="D35" s="2" t="s">
        <v>20</v>
      </c>
      <c r="E35" s="2">
        <v>4</v>
      </c>
      <c r="F35" s="4">
        <v>69813</v>
      </c>
      <c r="G35" s="2" t="str">
        <f>_xlfn.XLOOKUP(D35,Productos!A:A,Productos!C:C,"Sin categoria")</f>
        <v>Electrónica</v>
      </c>
      <c r="H35" s="2" t="str">
        <f>_xlfn.XLOOKUP(C35,Clientes!A:A,Clientes!C:C,"Sin Region")</f>
        <v>Cartagena</v>
      </c>
    </row>
    <row r="36" spans="1:8" ht="15.75" hidden="1" customHeight="1" x14ac:dyDescent="0.25">
      <c r="A36" s="2" t="s">
        <v>52</v>
      </c>
      <c r="B36" s="8">
        <v>46165</v>
      </c>
      <c r="C36" s="2" t="s">
        <v>170</v>
      </c>
      <c r="D36" s="2" t="s">
        <v>20</v>
      </c>
      <c r="E36" s="2">
        <v>9</v>
      </c>
      <c r="F36" s="4">
        <v>392235</v>
      </c>
      <c r="G36" s="2" t="str">
        <f>_xlfn.XLOOKUP(D36,Productos!A:A,Productos!C:C,"Sin categoria")</f>
        <v>Electrónica</v>
      </c>
      <c r="H36" s="2" t="str">
        <f>_xlfn.XLOOKUP(C36,Clientes!A:A,Clientes!C:C,"Sin Region")</f>
        <v>Medellín</v>
      </c>
    </row>
    <row r="37" spans="1:8" ht="15.75" hidden="1" customHeight="1" x14ac:dyDescent="0.25">
      <c r="A37" s="2" t="s">
        <v>53</v>
      </c>
      <c r="B37" s="9">
        <v>46114</v>
      </c>
      <c r="C37" s="2" t="s">
        <v>171</v>
      </c>
      <c r="D37" s="2" t="s">
        <v>7</v>
      </c>
      <c r="E37" s="2">
        <v>12</v>
      </c>
      <c r="F37" s="4">
        <v>373914</v>
      </c>
      <c r="G37" s="2" t="str">
        <f>_xlfn.XLOOKUP(D37,Productos!A:A,Productos!C:C,"Sin categoria")</f>
        <v>Electrónica</v>
      </c>
      <c r="H37" s="2" t="str">
        <f>_xlfn.XLOOKUP(C37,Clientes!A:A,Clientes!C:C,"Sin Region")</f>
        <v>Medellín</v>
      </c>
    </row>
    <row r="38" spans="1:8" ht="15.75" hidden="1" customHeight="1" x14ac:dyDescent="0.25">
      <c r="A38" s="2" t="s">
        <v>54</v>
      </c>
      <c r="B38" s="9">
        <v>46120</v>
      </c>
      <c r="C38" s="2" t="s">
        <v>172</v>
      </c>
      <c r="D38" s="2" t="s">
        <v>7</v>
      </c>
      <c r="E38" s="2">
        <v>9</v>
      </c>
      <c r="F38" s="4">
        <v>765221</v>
      </c>
      <c r="G38" s="2" t="str">
        <f>_xlfn.XLOOKUP(D38,Productos!A:A,Productos!C:C,"Sin categoria")</f>
        <v>Electrónica</v>
      </c>
      <c r="H38" s="2" t="str">
        <f>_xlfn.XLOOKUP(C38,Clientes!A:A,Clientes!C:C,"Sin Region")</f>
        <v>Barranquilla</v>
      </c>
    </row>
    <row r="39" spans="1:8" ht="15.75" hidden="1" customHeight="1" x14ac:dyDescent="0.25">
      <c r="A39" s="2" t="s">
        <v>55</v>
      </c>
      <c r="B39" s="9">
        <v>46209</v>
      </c>
      <c r="C39" s="2" t="s">
        <v>173</v>
      </c>
      <c r="D39" s="2" t="s">
        <v>23</v>
      </c>
      <c r="E39" s="2">
        <v>10</v>
      </c>
      <c r="F39" s="4">
        <v>374164</v>
      </c>
      <c r="G39" s="2" t="str">
        <f>_xlfn.XLOOKUP(D39,Productos!A:A,Productos!C:C,"Sin categoria")</f>
        <v>Hogar</v>
      </c>
      <c r="H39" s="2" t="str">
        <f>_xlfn.XLOOKUP(C39,Clientes!A:A,Clientes!C:C,"Sin Region")</f>
        <v>Cali</v>
      </c>
    </row>
    <row r="40" spans="1:8" ht="15.75" hidden="1" customHeight="1" x14ac:dyDescent="0.25">
      <c r="A40" s="2" t="s">
        <v>56</v>
      </c>
      <c r="B40" s="9">
        <v>46364</v>
      </c>
      <c r="C40" s="2" t="s">
        <v>174</v>
      </c>
      <c r="D40" s="2" t="s">
        <v>23</v>
      </c>
      <c r="E40" s="2">
        <v>3</v>
      </c>
      <c r="F40" s="4">
        <v>246158</v>
      </c>
      <c r="G40" s="2" t="str">
        <f>_xlfn.XLOOKUP(D40,Productos!A:A,Productos!C:C,"Sin categoria")</f>
        <v>Hogar</v>
      </c>
      <c r="H40" s="2" t="str">
        <f>_xlfn.XLOOKUP(C40,Clientes!A:A,Clientes!C:C,"Sin Region")</f>
        <v>Barranquilla</v>
      </c>
    </row>
    <row r="41" spans="1:8" ht="15.75" hidden="1" customHeight="1" x14ac:dyDescent="0.25">
      <c r="A41" s="2" t="s">
        <v>57</v>
      </c>
      <c r="B41" s="9">
        <v>46338</v>
      </c>
      <c r="C41" s="2" t="s">
        <v>175</v>
      </c>
      <c r="D41" s="2" t="s">
        <v>7</v>
      </c>
      <c r="E41" s="2">
        <v>5</v>
      </c>
      <c r="F41" s="4">
        <v>265392</v>
      </c>
      <c r="G41" s="2" t="str">
        <f>_xlfn.XLOOKUP(D41,Productos!A:A,Productos!C:C,"Sin categoria")</f>
        <v>Electrónica</v>
      </c>
      <c r="H41" s="2" t="str">
        <f>_xlfn.XLOOKUP(C41,Clientes!A:A,Clientes!C:C,"Sin Region")</f>
        <v>Medellín</v>
      </c>
    </row>
    <row r="42" spans="1:8" ht="15.75" hidden="1" customHeight="1" x14ac:dyDescent="0.25">
      <c r="A42" s="2" t="s">
        <v>58</v>
      </c>
      <c r="B42" s="9">
        <v>46249</v>
      </c>
      <c r="C42" s="2" t="s">
        <v>176</v>
      </c>
      <c r="D42" s="2" t="s">
        <v>18</v>
      </c>
      <c r="E42" s="2">
        <v>12</v>
      </c>
      <c r="F42" s="4">
        <v>222934</v>
      </c>
      <c r="G42" s="2" t="str">
        <f>_xlfn.XLOOKUP(D42,Productos!A:A,Productos!C:C,"Sin categoria")</f>
        <v>Electrónica</v>
      </c>
      <c r="H42" s="2" t="str">
        <f>_xlfn.XLOOKUP(C42,Clientes!A:A,Clientes!C:C,"Sin Region")</f>
        <v>Cali</v>
      </c>
    </row>
    <row r="43" spans="1:8" ht="15.75" hidden="1" customHeight="1" x14ac:dyDescent="0.25">
      <c r="A43" s="2" t="s">
        <v>59</v>
      </c>
      <c r="B43" s="9">
        <v>46070</v>
      </c>
      <c r="C43" s="2" t="s">
        <v>177</v>
      </c>
      <c r="D43" s="2" t="s">
        <v>18</v>
      </c>
      <c r="E43" s="2">
        <v>1</v>
      </c>
      <c r="F43" s="4">
        <v>93458</v>
      </c>
      <c r="G43" s="2" t="str">
        <f>_xlfn.XLOOKUP(D43,Productos!A:A,Productos!C:C,"Sin categoria")</f>
        <v>Electrónica</v>
      </c>
      <c r="H43" s="2" t="str">
        <f>_xlfn.XLOOKUP(C43,Clientes!A:A,Clientes!C:C,"Sin Region")</f>
        <v>Bogotá</v>
      </c>
    </row>
    <row r="44" spans="1:8" ht="15.75" hidden="1" customHeight="1" x14ac:dyDescent="0.25">
      <c r="A44" s="2" t="s">
        <v>60</v>
      </c>
      <c r="B44" s="9">
        <v>46235</v>
      </c>
      <c r="C44" s="2" t="s">
        <v>178</v>
      </c>
      <c r="D44" s="2" t="s">
        <v>18</v>
      </c>
      <c r="E44" s="2">
        <v>11</v>
      </c>
      <c r="F44" s="4">
        <v>766024</v>
      </c>
      <c r="G44" s="2" t="str">
        <f>_xlfn.XLOOKUP(D44,Productos!A:A,Productos!C:C,"Sin categoria")</f>
        <v>Electrónica</v>
      </c>
      <c r="H44" s="2" t="str">
        <f>_xlfn.XLOOKUP(C44,Clientes!A:A,Clientes!C:C,"Sin Region")</f>
        <v>Bogotá</v>
      </c>
    </row>
    <row r="45" spans="1:8" ht="15.75" hidden="1" customHeight="1" x14ac:dyDescent="0.25">
      <c r="A45" s="2" t="s">
        <v>61</v>
      </c>
      <c r="B45" s="9">
        <v>46240</v>
      </c>
      <c r="C45" s="2" t="s">
        <v>179</v>
      </c>
      <c r="D45" s="2" t="s">
        <v>18</v>
      </c>
      <c r="E45" s="2">
        <v>8</v>
      </c>
      <c r="F45" s="4">
        <v>97657</v>
      </c>
      <c r="G45" s="2" t="str">
        <f>_xlfn.XLOOKUP(D45,Productos!A:A,Productos!C:C,"Sin categoria")</f>
        <v>Electrónica</v>
      </c>
      <c r="H45" s="2" t="str">
        <f>_xlfn.XLOOKUP(C45,Clientes!A:A,Clientes!C:C,"Sin Region")</f>
        <v>Bogotá</v>
      </c>
    </row>
    <row r="46" spans="1:8" ht="15.75" hidden="1" customHeight="1" x14ac:dyDescent="0.25">
      <c r="A46" s="2" t="s">
        <v>62</v>
      </c>
      <c r="B46" s="9">
        <v>46260</v>
      </c>
      <c r="C46" s="2" t="s">
        <v>180</v>
      </c>
      <c r="D46" s="2" t="s">
        <v>20</v>
      </c>
      <c r="E46" s="2">
        <v>9</v>
      </c>
      <c r="F46" s="4">
        <v>492470</v>
      </c>
      <c r="G46" s="2" t="str">
        <f>_xlfn.XLOOKUP(D46,Productos!A:A,Productos!C:C,"Sin categoria")</f>
        <v>Electrónica</v>
      </c>
      <c r="H46" s="2" t="str">
        <f>_xlfn.XLOOKUP(C46,Clientes!A:A,Clientes!C:C,"Sin Region")</f>
        <v>Bogotá</v>
      </c>
    </row>
    <row r="47" spans="1:8" ht="15.75" hidden="1" customHeight="1" x14ac:dyDescent="0.25">
      <c r="A47" s="2" t="s">
        <v>63</v>
      </c>
      <c r="B47" s="9">
        <v>46266</v>
      </c>
      <c r="C47" s="2" t="s">
        <v>181</v>
      </c>
      <c r="D47" s="2" t="s">
        <v>64</v>
      </c>
      <c r="E47" s="2">
        <v>5</v>
      </c>
      <c r="F47" s="4">
        <v>848013</v>
      </c>
      <c r="G47" s="2" t="str">
        <f>_xlfn.XLOOKUP(D47,Productos!A:A,Productos!C:C,"Sin categoria")</f>
        <v>Hogar</v>
      </c>
      <c r="H47" s="2" t="str">
        <f>_xlfn.XLOOKUP(C47,Clientes!A:A,Clientes!C:C,"Sin Region")</f>
        <v>Bogotá</v>
      </c>
    </row>
    <row r="48" spans="1:8" ht="15.75" hidden="1" customHeight="1" x14ac:dyDescent="0.25">
      <c r="A48" s="2" t="s">
        <v>65</v>
      </c>
      <c r="B48" s="9">
        <v>46248</v>
      </c>
      <c r="C48" s="2" t="s">
        <v>182</v>
      </c>
      <c r="D48" s="2" t="s">
        <v>10</v>
      </c>
      <c r="E48" s="2">
        <v>9</v>
      </c>
      <c r="F48" s="4">
        <v>129491</v>
      </c>
      <c r="G48" s="2" t="str">
        <f>_xlfn.XLOOKUP(D48,Productos!A:A,Productos!C:C,"Sin categoria")</f>
        <v>Electrónica</v>
      </c>
      <c r="H48" s="2" t="str">
        <f>_xlfn.XLOOKUP(C48,Clientes!A:A,Clientes!C:C,"Sin Region")</f>
        <v>Bogotá</v>
      </c>
    </row>
    <row r="49" spans="1:8" ht="15.75" hidden="1" customHeight="1" x14ac:dyDescent="0.25">
      <c r="A49" s="2" t="s">
        <v>66</v>
      </c>
      <c r="B49" s="9">
        <v>46055</v>
      </c>
      <c r="C49" s="2" t="s">
        <v>183</v>
      </c>
      <c r="D49" s="2" t="s">
        <v>23</v>
      </c>
      <c r="E49" s="2">
        <v>1</v>
      </c>
      <c r="F49" s="4">
        <v>261881</v>
      </c>
      <c r="G49" s="2" t="str">
        <f>_xlfn.XLOOKUP(D49,Productos!A:A,Productos!C:C,"Sin categoria")</f>
        <v>Hogar</v>
      </c>
      <c r="H49" s="2" t="str">
        <f>_xlfn.XLOOKUP(C49,Clientes!A:A,Clientes!C:C,"Sin Region")</f>
        <v>Bogotá</v>
      </c>
    </row>
    <row r="50" spans="1:8" ht="15.75" hidden="1" customHeight="1" x14ac:dyDescent="0.25">
      <c r="A50" s="2" t="s">
        <v>67</v>
      </c>
      <c r="B50" s="8">
        <v>46379</v>
      </c>
      <c r="C50" s="2" t="s">
        <v>184</v>
      </c>
      <c r="D50" s="2" t="s">
        <v>28</v>
      </c>
      <c r="E50" s="2">
        <v>6</v>
      </c>
      <c r="F50" s="4">
        <v>358118</v>
      </c>
      <c r="G50" s="2" t="str">
        <f>_xlfn.XLOOKUP(D50,Productos!A:A,Productos!C:C,"Sin categoria")</f>
        <v>Electrónica</v>
      </c>
      <c r="H50" s="2" t="str">
        <f>_xlfn.XLOOKUP(C50,Clientes!A:A,Clientes!C:C,"Sin Region")</f>
        <v>Cali</v>
      </c>
    </row>
    <row r="51" spans="1:8" ht="15.75" hidden="1" customHeight="1" x14ac:dyDescent="0.25">
      <c r="A51" s="2" t="s">
        <v>68</v>
      </c>
      <c r="B51" s="9">
        <v>46237</v>
      </c>
      <c r="C51" s="2" t="s">
        <v>185</v>
      </c>
      <c r="D51" s="2" t="s">
        <v>18</v>
      </c>
      <c r="E51" s="2">
        <v>1</v>
      </c>
      <c r="F51" s="4">
        <v>452746</v>
      </c>
      <c r="G51" s="2" t="str">
        <f>_xlfn.XLOOKUP(D51,Productos!A:A,Productos!C:C,"Sin categoria")</f>
        <v>Electrónica</v>
      </c>
      <c r="H51" s="2" t="str">
        <f>_xlfn.XLOOKUP(C51,Clientes!A:A,Clientes!C:C,"Sin Region")</f>
        <v>Medellín</v>
      </c>
    </row>
    <row r="52" spans="1:8" ht="15.75" customHeight="1" x14ac:dyDescent="0.25">
      <c r="A52" s="2" t="s">
        <v>69</v>
      </c>
      <c r="B52" s="9">
        <v>46262</v>
      </c>
      <c r="C52" s="2" t="s">
        <v>186</v>
      </c>
      <c r="D52" s="2" t="s">
        <v>37</v>
      </c>
      <c r="E52" s="2">
        <v>10</v>
      </c>
      <c r="F52" s="4">
        <v>636807</v>
      </c>
      <c r="G52" s="2" t="str">
        <f>_xlfn.XLOOKUP(D52,Productos!A:A,Productos!C:C,"Sin categoria")</f>
        <v>Linea blanca</v>
      </c>
      <c r="H52" s="2" t="str">
        <f>_xlfn.XLOOKUP(C52,Clientes!A:A,Clientes!C:C,"Sin Region")</f>
        <v>Medellín</v>
      </c>
    </row>
    <row r="53" spans="1:8" ht="15.75" hidden="1" customHeight="1" x14ac:dyDescent="0.25">
      <c r="A53" s="2" t="s">
        <v>70</v>
      </c>
      <c r="B53" s="9">
        <v>46116</v>
      </c>
      <c r="C53" s="2" t="s">
        <v>187</v>
      </c>
      <c r="D53" s="2" t="s">
        <v>28</v>
      </c>
      <c r="E53" s="2">
        <v>6</v>
      </c>
      <c r="F53" s="4">
        <v>398894</v>
      </c>
      <c r="G53" s="2" t="str">
        <f>_xlfn.XLOOKUP(D53,Productos!A:A,Productos!C:C,"Sin categoria")</f>
        <v>Electrónica</v>
      </c>
      <c r="H53" s="2" t="str">
        <f>_xlfn.XLOOKUP(C53,Clientes!A:A,Clientes!C:C,"Sin Region")</f>
        <v>Bogotá</v>
      </c>
    </row>
    <row r="54" spans="1:8" ht="15.75" hidden="1" customHeight="1" x14ac:dyDescent="0.25">
      <c r="A54" s="2" t="s">
        <v>71</v>
      </c>
      <c r="B54" s="8">
        <v>46238</v>
      </c>
      <c r="C54" s="2" t="s">
        <v>188</v>
      </c>
      <c r="D54" s="2" t="s">
        <v>7</v>
      </c>
      <c r="E54" s="2">
        <v>1</v>
      </c>
      <c r="F54" s="4">
        <v>411960</v>
      </c>
      <c r="G54" s="2" t="str">
        <f>_xlfn.XLOOKUP(D54,Productos!A:A,Productos!C:C,"Sin categoria")</f>
        <v>Electrónica</v>
      </c>
      <c r="H54" s="2" t="str">
        <f>_xlfn.XLOOKUP(C54,Clientes!A:A,Clientes!C:C,"Sin Region")</f>
        <v>Bogotá</v>
      </c>
    </row>
    <row r="55" spans="1:8" ht="15.75" hidden="1" customHeight="1" x14ac:dyDescent="0.25">
      <c r="A55" s="2" t="s">
        <v>72</v>
      </c>
      <c r="B55" s="9">
        <v>46043</v>
      </c>
      <c r="C55" s="2" t="s">
        <v>189</v>
      </c>
      <c r="D55" s="2" t="s">
        <v>28</v>
      </c>
      <c r="E55" s="2">
        <v>3</v>
      </c>
      <c r="F55" s="4">
        <v>295132</v>
      </c>
      <c r="G55" s="2" t="str">
        <f>_xlfn.XLOOKUP(D55,Productos!A:A,Productos!C:C,"Sin categoria")</f>
        <v>Electrónica</v>
      </c>
      <c r="H55" s="2" t="str">
        <f>_xlfn.XLOOKUP(C55,Clientes!A:A,Clientes!C:C,"Sin Region")</f>
        <v>Cartagena</v>
      </c>
    </row>
    <row r="56" spans="1:8" ht="15.75" hidden="1" customHeight="1" x14ac:dyDescent="0.25">
      <c r="A56" s="2" t="s">
        <v>73</v>
      </c>
      <c r="B56" s="8">
        <v>46381</v>
      </c>
      <c r="C56" s="2" t="s">
        <v>190</v>
      </c>
      <c r="D56" s="2" t="s">
        <v>7</v>
      </c>
      <c r="E56" s="2">
        <v>12</v>
      </c>
      <c r="F56" s="4">
        <v>798252</v>
      </c>
      <c r="G56" s="2" t="str">
        <f>_xlfn.XLOOKUP(D56,Productos!A:A,Productos!C:C,"Sin categoria")</f>
        <v>Electrónica</v>
      </c>
      <c r="H56" s="2" t="str">
        <f>_xlfn.XLOOKUP(C56,Clientes!A:A,Clientes!C:C,"Sin Region")</f>
        <v>Cali</v>
      </c>
    </row>
    <row r="57" spans="1:8" ht="15.75" hidden="1" customHeight="1" x14ac:dyDescent="0.25">
      <c r="A57" s="2" t="s">
        <v>74</v>
      </c>
      <c r="B57" s="9">
        <v>46078</v>
      </c>
      <c r="C57" s="2" t="s">
        <v>191</v>
      </c>
      <c r="D57" s="2" t="s">
        <v>28</v>
      </c>
      <c r="E57" s="2">
        <v>7</v>
      </c>
      <c r="F57" s="4">
        <v>460922</v>
      </c>
      <c r="G57" s="2" t="str">
        <f>_xlfn.XLOOKUP(D57,Productos!A:A,Productos!C:C,"Sin categoria")</f>
        <v>Electrónica</v>
      </c>
      <c r="H57" s="2" t="str">
        <f>_xlfn.XLOOKUP(C57,Clientes!A:A,Clientes!C:C,"Sin Region")</f>
        <v>Cali</v>
      </c>
    </row>
    <row r="58" spans="1:8" ht="15.75" hidden="1" customHeight="1" x14ac:dyDescent="0.25">
      <c r="A58" s="2" t="s">
        <v>75</v>
      </c>
      <c r="B58" s="9">
        <v>46344</v>
      </c>
      <c r="C58" s="2" t="s">
        <v>192</v>
      </c>
      <c r="D58" s="2" t="s">
        <v>18</v>
      </c>
      <c r="E58" s="2">
        <v>11</v>
      </c>
      <c r="F58" s="4">
        <v>674577</v>
      </c>
      <c r="G58" s="2" t="str">
        <f>_xlfn.XLOOKUP(D58,Productos!A:A,Productos!C:C,"Sin categoria")</f>
        <v>Electrónica</v>
      </c>
      <c r="H58" s="2" t="str">
        <f>_xlfn.XLOOKUP(C58,Clientes!A:A,Clientes!C:C,"Sin Region")</f>
        <v>Bogotá</v>
      </c>
    </row>
    <row r="59" spans="1:8" ht="15.75" hidden="1" customHeight="1" x14ac:dyDescent="0.25">
      <c r="A59" s="2" t="s">
        <v>76</v>
      </c>
      <c r="B59" s="9">
        <v>46044</v>
      </c>
      <c r="C59" s="2" t="s">
        <v>193</v>
      </c>
      <c r="D59" s="2" t="s">
        <v>20</v>
      </c>
      <c r="E59" s="2">
        <v>9</v>
      </c>
      <c r="F59" s="4">
        <v>723998</v>
      </c>
      <c r="G59" s="2" t="str">
        <f>_xlfn.XLOOKUP(D59,Productos!A:A,Productos!C:C,"Sin categoria")</f>
        <v>Electrónica</v>
      </c>
      <c r="H59" s="2" t="str">
        <f>_xlfn.XLOOKUP(C59,Clientes!A:A,Clientes!C:C,"Sin Region")</f>
        <v>Cali</v>
      </c>
    </row>
    <row r="60" spans="1:8" ht="15.75" hidden="1" customHeight="1" x14ac:dyDescent="0.25">
      <c r="A60" s="2" t="s">
        <v>77</v>
      </c>
      <c r="B60" s="9">
        <v>46208</v>
      </c>
      <c r="C60" s="2" t="s">
        <v>194</v>
      </c>
      <c r="D60" s="2" t="s">
        <v>64</v>
      </c>
      <c r="E60" s="2">
        <v>11</v>
      </c>
      <c r="F60" s="4">
        <v>328201</v>
      </c>
      <c r="G60" s="2" t="str">
        <f>_xlfn.XLOOKUP(D60,Productos!A:A,Productos!C:C,"Sin categoria")</f>
        <v>Hogar</v>
      </c>
      <c r="H60" s="2" t="str">
        <f>_xlfn.XLOOKUP(C60,Clientes!A:A,Clientes!C:C,"Sin Region")</f>
        <v>Bogotá</v>
      </c>
    </row>
    <row r="61" spans="1:8" ht="15.75" hidden="1" customHeight="1" x14ac:dyDescent="0.25">
      <c r="A61" s="2" t="s">
        <v>78</v>
      </c>
      <c r="B61" s="9">
        <v>46326</v>
      </c>
      <c r="C61" s="2" t="s">
        <v>195</v>
      </c>
      <c r="D61" s="2" t="s">
        <v>7</v>
      </c>
      <c r="E61" s="2">
        <v>2</v>
      </c>
      <c r="F61" s="4">
        <v>337477</v>
      </c>
      <c r="G61" s="2" t="str">
        <f>_xlfn.XLOOKUP(D61,Productos!A:A,Productos!C:C,"Sin categoria")</f>
        <v>Electrónica</v>
      </c>
      <c r="H61" s="2" t="str">
        <f>_xlfn.XLOOKUP(C61,Clientes!A:A,Clientes!C:C,"Sin Region")</f>
        <v>Medellín</v>
      </c>
    </row>
    <row r="62" spans="1:8" ht="15.75" hidden="1" customHeight="1" x14ac:dyDescent="0.25">
      <c r="A62" s="2" t="s">
        <v>79</v>
      </c>
      <c r="B62" s="9">
        <v>46335</v>
      </c>
      <c r="C62" s="2" t="s">
        <v>196</v>
      </c>
      <c r="D62" s="2" t="s">
        <v>23</v>
      </c>
      <c r="E62" s="2">
        <v>3</v>
      </c>
      <c r="F62" s="4">
        <v>556233</v>
      </c>
      <c r="G62" s="2" t="str">
        <f>_xlfn.XLOOKUP(D62,Productos!A:A,Productos!C:C,"Sin categoria")</f>
        <v>Hogar</v>
      </c>
      <c r="H62" s="2" t="str">
        <f>_xlfn.XLOOKUP(C62,Clientes!A:A,Clientes!C:C,"Sin Region")</f>
        <v>Cartagena</v>
      </c>
    </row>
    <row r="63" spans="1:8" ht="15.75" hidden="1" customHeight="1" x14ac:dyDescent="0.25">
      <c r="A63" s="2" t="s">
        <v>80</v>
      </c>
      <c r="B63" s="9">
        <v>46382</v>
      </c>
      <c r="C63" s="2" t="s">
        <v>197</v>
      </c>
      <c r="D63" s="2" t="s">
        <v>7</v>
      </c>
      <c r="E63" s="2">
        <v>2</v>
      </c>
      <c r="F63" s="4">
        <v>298080</v>
      </c>
      <c r="G63" s="2" t="str">
        <f>_xlfn.XLOOKUP(D63,Productos!A:A,Productos!C:C,"Sin categoria")</f>
        <v>Electrónica</v>
      </c>
      <c r="H63" s="2" t="str">
        <f>_xlfn.XLOOKUP(C63,Clientes!A:A,Clientes!C:C,"Sin Region")</f>
        <v>Cali</v>
      </c>
    </row>
    <row r="64" spans="1:8" ht="15.75" hidden="1" customHeight="1" x14ac:dyDescent="0.25">
      <c r="A64" s="2" t="s">
        <v>81</v>
      </c>
      <c r="B64" s="9">
        <v>46376</v>
      </c>
      <c r="C64" s="2" t="s">
        <v>198</v>
      </c>
      <c r="D64" s="2" t="s">
        <v>64</v>
      </c>
      <c r="E64" s="2">
        <v>5</v>
      </c>
      <c r="F64" s="4">
        <v>277360</v>
      </c>
      <c r="G64" s="2" t="str">
        <f>_xlfn.XLOOKUP(D64,Productos!A:A,Productos!C:C,"Sin categoria")</f>
        <v>Hogar</v>
      </c>
      <c r="H64" s="2" t="str">
        <f>_xlfn.XLOOKUP(C64,Clientes!A:A,Clientes!C:C,"Sin Region")</f>
        <v>Medellín</v>
      </c>
    </row>
    <row r="65" spans="1:8" ht="15.75" hidden="1" customHeight="1" x14ac:dyDescent="0.25">
      <c r="A65" s="2" t="s">
        <v>82</v>
      </c>
      <c r="B65" s="9">
        <v>46306</v>
      </c>
      <c r="C65" s="2" t="s">
        <v>199</v>
      </c>
      <c r="D65" s="2" t="s">
        <v>20</v>
      </c>
      <c r="E65" s="2">
        <v>6</v>
      </c>
      <c r="F65" s="4">
        <v>781996</v>
      </c>
      <c r="G65" s="2" t="str">
        <f>_xlfn.XLOOKUP(D65,Productos!A:A,Productos!C:C,"Sin categoria")</f>
        <v>Electrónica</v>
      </c>
      <c r="H65" s="2" t="str">
        <f>_xlfn.XLOOKUP(C65,Clientes!A:A,Clientes!C:C,"Sin Region")</f>
        <v>Cali</v>
      </c>
    </row>
    <row r="66" spans="1:8" ht="15.75" hidden="1" customHeight="1" x14ac:dyDescent="0.25">
      <c r="A66" s="2" t="s">
        <v>83</v>
      </c>
      <c r="B66" s="9">
        <v>46184</v>
      </c>
      <c r="C66" s="2" t="s">
        <v>200</v>
      </c>
      <c r="D66" s="2" t="s">
        <v>10</v>
      </c>
      <c r="E66" s="2">
        <v>4</v>
      </c>
      <c r="F66" s="4">
        <v>271895</v>
      </c>
      <c r="G66" s="2" t="str">
        <f>_xlfn.XLOOKUP(D66,Productos!A:A,Productos!C:C,"Sin categoria")</f>
        <v>Electrónica</v>
      </c>
      <c r="H66" s="2" t="str">
        <f>_xlfn.XLOOKUP(C66,Clientes!A:A,Clientes!C:C,"Sin Region")</f>
        <v>Barranquilla</v>
      </c>
    </row>
    <row r="67" spans="1:8" ht="15.75" hidden="1" customHeight="1" x14ac:dyDescent="0.25">
      <c r="A67" s="2" t="s">
        <v>84</v>
      </c>
      <c r="B67" s="9">
        <v>46291</v>
      </c>
      <c r="C67" s="2" t="s">
        <v>201</v>
      </c>
      <c r="D67" s="2" t="s">
        <v>7</v>
      </c>
      <c r="E67" s="2">
        <v>6</v>
      </c>
      <c r="F67" s="4">
        <v>233158</v>
      </c>
      <c r="G67" s="2" t="str">
        <f>_xlfn.XLOOKUP(D67,Productos!A:A,Productos!C:C,"Sin categoria")</f>
        <v>Electrónica</v>
      </c>
      <c r="H67" s="2" t="str">
        <f>_xlfn.XLOOKUP(C67,Clientes!A:A,Clientes!C:C,"Sin Region")</f>
        <v>Cali</v>
      </c>
    </row>
    <row r="68" spans="1:8" ht="15.75" hidden="1" customHeight="1" x14ac:dyDescent="0.25">
      <c r="A68" s="2" t="s">
        <v>85</v>
      </c>
      <c r="B68" s="9">
        <v>46050</v>
      </c>
      <c r="C68" s="2" t="s">
        <v>202</v>
      </c>
      <c r="D68" s="2" t="s">
        <v>7</v>
      </c>
      <c r="E68" s="2">
        <v>2</v>
      </c>
      <c r="F68" s="4">
        <v>57861</v>
      </c>
      <c r="G68" s="2" t="str">
        <f>_xlfn.XLOOKUP(D68,Productos!A:A,Productos!C:C,"Sin categoria")</f>
        <v>Electrónica</v>
      </c>
      <c r="H68" s="2" t="str">
        <f>_xlfn.XLOOKUP(C68,Clientes!A:A,Clientes!C:C,"Sin Region")</f>
        <v>Bogotá</v>
      </c>
    </row>
    <row r="69" spans="1:8" ht="15.75" hidden="1" customHeight="1" x14ac:dyDescent="0.25">
      <c r="A69" s="2" t="s">
        <v>86</v>
      </c>
      <c r="B69" s="9">
        <v>46049</v>
      </c>
      <c r="C69" s="2" t="s">
        <v>203</v>
      </c>
      <c r="D69" s="2" t="s">
        <v>7</v>
      </c>
      <c r="E69" s="2">
        <v>8</v>
      </c>
      <c r="F69" s="4">
        <v>122680</v>
      </c>
      <c r="G69" s="2" t="str">
        <f>_xlfn.XLOOKUP(D69,Productos!A:A,Productos!C:C,"Sin categoria")</f>
        <v>Electrónica</v>
      </c>
      <c r="H69" s="2" t="str">
        <f>_xlfn.XLOOKUP(C69,Clientes!A:A,Clientes!C:C,"Sin Region")</f>
        <v>Bogotá</v>
      </c>
    </row>
    <row r="70" spans="1:8" ht="15.75" hidden="1" customHeight="1" x14ac:dyDescent="0.25">
      <c r="A70" s="2" t="s">
        <v>87</v>
      </c>
      <c r="B70" s="9">
        <v>46178</v>
      </c>
      <c r="C70" s="2" t="s">
        <v>204</v>
      </c>
      <c r="D70" s="2" t="s">
        <v>10</v>
      </c>
      <c r="E70" s="2">
        <v>10</v>
      </c>
      <c r="F70" s="4">
        <v>670084</v>
      </c>
      <c r="G70" s="2" t="str">
        <f>_xlfn.XLOOKUP(D70,Productos!A:A,Productos!C:C,"Sin categoria")</f>
        <v>Electrónica</v>
      </c>
      <c r="H70" s="2" t="str">
        <f>_xlfn.XLOOKUP(C70,Clientes!A:A,Clientes!C:C,"Sin Region")</f>
        <v>Bogotá</v>
      </c>
    </row>
    <row r="71" spans="1:8" ht="15.75" hidden="1" customHeight="1" x14ac:dyDescent="0.25">
      <c r="A71" s="2" t="s">
        <v>88</v>
      </c>
      <c r="B71" s="9">
        <v>46253</v>
      </c>
      <c r="C71" s="2" t="s">
        <v>205</v>
      </c>
      <c r="D71" s="2" t="s">
        <v>64</v>
      </c>
      <c r="E71" s="2">
        <v>5</v>
      </c>
      <c r="F71" s="4">
        <v>641251</v>
      </c>
      <c r="G71" s="2" t="str">
        <f>_xlfn.XLOOKUP(D71,Productos!A:A,Productos!C:C,"Sin categoria")</f>
        <v>Hogar</v>
      </c>
      <c r="H71" s="2" t="str">
        <f>_xlfn.XLOOKUP(C71,Clientes!A:A,Clientes!C:C,"Sin Region")</f>
        <v>Bogotá</v>
      </c>
    </row>
    <row r="72" spans="1:8" ht="15.75" hidden="1" customHeight="1" x14ac:dyDescent="0.25">
      <c r="A72" s="2" t="s">
        <v>89</v>
      </c>
      <c r="B72" s="9">
        <v>46129</v>
      </c>
      <c r="C72" s="2" t="s">
        <v>206</v>
      </c>
      <c r="D72" s="2" t="s">
        <v>18</v>
      </c>
      <c r="E72" s="2">
        <v>3</v>
      </c>
      <c r="F72" s="4">
        <v>623805</v>
      </c>
      <c r="G72" s="2" t="str">
        <f>_xlfn.XLOOKUP(D72,Productos!A:A,Productos!C:C,"Sin categoria")</f>
        <v>Electrónica</v>
      </c>
      <c r="H72" s="2" t="str">
        <f>_xlfn.XLOOKUP(C72,Clientes!A:A,Clientes!C:C,"Sin Region")</f>
        <v>Bogotá</v>
      </c>
    </row>
    <row r="73" spans="1:8" ht="15.75" hidden="1" customHeight="1" x14ac:dyDescent="0.25">
      <c r="A73" s="2" t="s">
        <v>90</v>
      </c>
      <c r="B73" s="9">
        <v>46172</v>
      </c>
      <c r="C73" s="2" t="s">
        <v>207</v>
      </c>
      <c r="D73" s="2" t="s">
        <v>28</v>
      </c>
      <c r="E73" s="2">
        <v>8</v>
      </c>
      <c r="F73" s="4">
        <v>119637</v>
      </c>
      <c r="G73" s="2" t="str">
        <f>_xlfn.XLOOKUP(D73,Productos!A:A,Productos!C:C,"Sin categoria")</f>
        <v>Electrónica</v>
      </c>
      <c r="H73" s="2" t="str">
        <f>_xlfn.XLOOKUP(C73,Clientes!A:A,Clientes!C:C,"Sin Region")</f>
        <v>Cartagena</v>
      </c>
    </row>
    <row r="74" spans="1:8" ht="15.75" hidden="1" customHeight="1" x14ac:dyDescent="0.25">
      <c r="A74" s="2" t="s">
        <v>91</v>
      </c>
      <c r="B74" s="9">
        <v>46361</v>
      </c>
      <c r="C74" s="2" t="s">
        <v>208</v>
      </c>
      <c r="D74" s="2" t="s">
        <v>18</v>
      </c>
      <c r="E74" s="2">
        <v>3</v>
      </c>
      <c r="F74" s="4">
        <v>323535</v>
      </c>
      <c r="G74" s="2" t="str">
        <f>_xlfn.XLOOKUP(D74,Productos!A:A,Productos!C:C,"Sin categoria")</f>
        <v>Electrónica</v>
      </c>
      <c r="H74" s="2" t="str">
        <f>_xlfn.XLOOKUP(C74,Clientes!A:A,Clientes!C:C,"Sin Region")</f>
        <v>Barranquilla</v>
      </c>
    </row>
    <row r="75" spans="1:8" ht="15.75" hidden="1" customHeight="1" x14ac:dyDescent="0.25">
      <c r="A75" s="2" t="s">
        <v>92</v>
      </c>
      <c r="B75" s="9">
        <v>46180</v>
      </c>
      <c r="C75" s="2" t="s">
        <v>209</v>
      </c>
      <c r="D75" s="2" t="s">
        <v>7</v>
      </c>
      <c r="E75" s="2">
        <v>12</v>
      </c>
      <c r="F75" s="4">
        <v>467060</v>
      </c>
      <c r="G75" s="2" t="str">
        <f>_xlfn.XLOOKUP(D75,Productos!A:A,Productos!C:C,"Sin categoria")</f>
        <v>Electrónica</v>
      </c>
      <c r="H75" s="2" t="str">
        <f>_xlfn.XLOOKUP(C75,Clientes!A:A,Clientes!C:C,"Sin Region")</f>
        <v>Bogotá</v>
      </c>
    </row>
    <row r="76" spans="1:8" ht="15.75" hidden="1" customHeight="1" x14ac:dyDescent="0.25">
      <c r="A76" s="2" t="s">
        <v>93</v>
      </c>
      <c r="B76" s="9">
        <v>46064</v>
      </c>
      <c r="C76" s="2" t="s">
        <v>210</v>
      </c>
      <c r="D76" s="2" t="s">
        <v>28</v>
      </c>
      <c r="E76" s="2">
        <v>1</v>
      </c>
      <c r="F76" s="4">
        <v>140763</v>
      </c>
      <c r="G76" s="2" t="str">
        <f>_xlfn.XLOOKUP(D76,Productos!A:A,Productos!C:C,"Sin categoria")</f>
        <v>Electrónica</v>
      </c>
      <c r="H76" s="2" t="str">
        <f>_xlfn.XLOOKUP(C76,Clientes!A:A,Clientes!C:C,"Sin Region")</f>
        <v>Cali</v>
      </c>
    </row>
    <row r="77" spans="1:8" ht="15.75" hidden="1" customHeight="1" x14ac:dyDescent="0.25">
      <c r="A77" s="2" t="s">
        <v>94</v>
      </c>
      <c r="B77" s="9">
        <v>46033</v>
      </c>
      <c r="C77" s="2" t="s">
        <v>211</v>
      </c>
      <c r="D77" s="2" t="s">
        <v>7</v>
      </c>
      <c r="E77" s="2">
        <v>8</v>
      </c>
      <c r="F77" s="4">
        <v>589173</v>
      </c>
      <c r="G77" s="2" t="str">
        <f>_xlfn.XLOOKUP(D77,Productos!A:A,Productos!C:C,"Sin categoria")</f>
        <v>Electrónica</v>
      </c>
      <c r="H77" s="2" t="str">
        <f>_xlfn.XLOOKUP(C77,Clientes!A:A,Clientes!C:C,"Sin Region")</f>
        <v>Medellín</v>
      </c>
    </row>
    <row r="78" spans="1:8" ht="15.75" hidden="1" customHeight="1" x14ac:dyDescent="0.25">
      <c r="A78" s="2" t="s">
        <v>95</v>
      </c>
      <c r="B78" s="9">
        <v>46348</v>
      </c>
      <c r="C78" s="2" t="s">
        <v>212</v>
      </c>
      <c r="D78" s="2" t="s">
        <v>64</v>
      </c>
      <c r="E78" s="2">
        <v>6</v>
      </c>
      <c r="F78" s="4">
        <v>747685</v>
      </c>
      <c r="G78" s="2" t="str">
        <f>_xlfn.XLOOKUP(D78,Productos!A:A,Productos!C:C,"Sin categoria")</f>
        <v>Hogar</v>
      </c>
      <c r="H78" s="2" t="str">
        <f>_xlfn.XLOOKUP(C78,Clientes!A:A,Clientes!C:C,"Sin Region")</f>
        <v>Barranquilla</v>
      </c>
    </row>
    <row r="79" spans="1:8" ht="15.75" hidden="1" customHeight="1" x14ac:dyDescent="0.25">
      <c r="A79" s="2" t="s">
        <v>96</v>
      </c>
      <c r="B79" s="9">
        <v>46362</v>
      </c>
      <c r="C79" s="2" t="s">
        <v>213</v>
      </c>
      <c r="D79" s="2" t="s">
        <v>23</v>
      </c>
      <c r="E79" s="2">
        <v>5</v>
      </c>
      <c r="F79" s="4">
        <v>383977</v>
      </c>
      <c r="G79" s="2" t="str">
        <f>_xlfn.XLOOKUP(D79,Productos!A:A,Productos!C:C,"Sin categoria")</f>
        <v>Hogar</v>
      </c>
      <c r="H79" s="2" t="str">
        <f>_xlfn.XLOOKUP(C79,Clientes!A:A,Clientes!C:C,"Sin Region")</f>
        <v>Medellín</v>
      </c>
    </row>
    <row r="80" spans="1:8" ht="15.75" hidden="1" customHeight="1" x14ac:dyDescent="0.25">
      <c r="A80" s="2" t="s">
        <v>97</v>
      </c>
      <c r="B80" s="9">
        <v>46023</v>
      </c>
      <c r="C80" s="2" t="s">
        <v>214</v>
      </c>
      <c r="D80" s="2" t="s">
        <v>64</v>
      </c>
      <c r="E80" s="2">
        <v>10</v>
      </c>
      <c r="F80" s="4">
        <v>838188</v>
      </c>
      <c r="G80" s="2" t="str">
        <f>_xlfn.XLOOKUP(D80,Productos!A:A,Productos!C:C,"Sin categoria")</f>
        <v>Hogar</v>
      </c>
      <c r="H80" s="2" t="str">
        <f>_xlfn.XLOOKUP(C80,Clientes!A:A,Clientes!C:C,"Sin Region")</f>
        <v>Bogotá</v>
      </c>
    </row>
    <row r="81" spans="1:8" ht="15.75" hidden="1" customHeight="1" x14ac:dyDescent="0.25">
      <c r="A81" s="2" t="s">
        <v>98</v>
      </c>
      <c r="B81" s="9">
        <v>46090</v>
      </c>
      <c r="C81" s="2" t="s">
        <v>215</v>
      </c>
      <c r="D81" s="2" t="s">
        <v>7</v>
      </c>
      <c r="E81" s="2">
        <v>1</v>
      </c>
      <c r="F81" s="4">
        <v>705626</v>
      </c>
      <c r="G81" s="2" t="str">
        <f>_xlfn.XLOOKUP(D81,Productos!A:A,Productos!C:C,"Sin categoria")</f>
        <v>Electrónica</v>
      </c>
      <c r="H81" s="2" t="str">
        <f>_xlfn.XLOOKUP(C81,Clientes!A:A,Clientes!C:C,"Sin Region")</f>
        <v>Bogotá</v>
      </c>
    </row>
    <row r="82" spans="1:8" ht="15.75" hidden="1" customHeight="1" x14ac:dyDescent="0.25">
      <c r="A82" s="2" t="s">
        <v>99</v>
      </c>
      <c r="B82" s="9">
        <v>46305</v>
      </c>
      <c r="C82" s="2" t="s">
        <v>216</v>
      </c>
      <c r="D82" s="2" t="s">
        <v>23</v>
      </c>
      <c r="E82" s="2">
        <v>2</v>
      </c>
      <c r="F82" s="4">
        <v>528863</v>
      </c>
      <c r="G82" s="2" t="str">
        <f>_xlfn.XLOOKUP(D82,Productos!A:A,Productos!C:C,"Sin categoria")</f>
        <v>Hogar</v>
      </c>
      <c r="H82" s="2" t="str">
        <f>_xlfn.XLOOKUP(C82,Clientes!A:A,Clientes!C:C,"Sin Region")</f>
        <v>Medellín</v>
      </c>
    </row>
    <row r="83" spans="1:8" ht="15.75" hidden="1" customHeight="1" x14ac:dyDescent="0.25">
      <c r="A83" s="2" t="s">
        <v>100</v>
      </c>
      <c r="B83" s="8">
        <v>46172</v>
      </c>
      <c r="C83" s="2" t="s">
        <v>217</v>
      </c>
      <c r="D83" s="2" t="s">
        <v>7</v>
      </c>
      <c r="E83" s="2">
        <v>4</v>
      </c>
      <c r="F83" s="4">
        <v>523975</v>
      </c>
      <c r="G83" s="2" t="str">
        <f>_xlfn.XLOOKUP(D83,Productos!A:A,Productos!C:C,"Sin categoria")</f>
        <v>Electrónica</v>
      </c>
      <c r="H83" s="2" t="str">
        <f>_xlfn.XLOOKUP(C83,Clientes!A:A,Clientes!C:C,"Sin Region")</f>
        <v>Bogotá</v>
      </c>
    </row>
    <row r="84" spans="1:8" ht="15.75" customHeight="1" x14ac:dyDescent="0.25">
      <c r="A84" s="2" t="s">
        <v>101</v>
      </c>
      <c r="B84" s="9">
        <v>46283</v>
      </c>
      <c r="C84" s="2" t="s">
        <v>218</v>
      </c>
      <c r="D84" s="2" t="s">
        <v>37</v>
      </c>
      <c r="E84" s="2">
        <v>7</v>
      </c>
      <c r="F84" s="4">
        <v>401385</v>
      </c>
      <c r="G84" s="2" t="str">
        <f>_xlfn.XLOOKUP(D84,Productos!A:A,Productos!C:C,"Sin categoria")</f>
        <v>Linea blanca</v>
      </c>
      <c r="H84" s="2" t="str">
        <f>_xlfn.XLOOKUP(C84,Clientes!A:A,Clientes!C:C,"Sin Region")</f>
        <v>Medellín</v>
      </c>
    </row>
    <row r="85" spans="1:8" ht="15.75" hidden="1" customHeight="1" x14ac:dyDescent="0.25">
      <c r="A85" s="2" t="s">
        <v>102</v>
      </c>
      <c r="B85" s="9">
        <v>46167</v>
      </c>
      <c r="C85" s="2" t="s">
        <v>219</v>
      </c>
      <c r="D85" s="2" t="s">
        <v>7</v>
      </c>
      <c r="E85" s="2">
        <v>3</v>
      </c>
      <c r="F85" s="4">
        <v>513238</v>
      </c>
      <c r="G85" s="2" t="str">
        <f>_xlfn.XLOOKUP(D85,Productos!A:A,Productos!C:C,"Sin categoria")</f>
        <v>Electrónica</v>
      </c>
      <c r="H85" s="2" t="str">
        <f>_xlfn.XLOOKUP(C85,Clientes!A:A,Clientes!C:C,"Sin Region")</f>
        <v>Barranquilla</v>
      </c>
    </row>
    <row r="86" spans="1:8" ht="15.75" hidden="1" customHeight="1" x14ac:dyDescent="0.25">
      <c r="A86" s="2" t="s">
        <v>103</v>
      </c>
      <c r="B86" s="9">
        <v>46256</v>
      </c>
      <c r="C86" s="2" t="s">
        <v>220</v>
      </c>
      <c r="D86" s="2" t="s">
        <v>20</v>
      </c>
      <c r="E86" s="2">
        <v>7</v>
      </c>
      <c r="F86" s="4">
        <v>289907</v>
      </c>
      <c r="G86" s="2" t="str">
        <f>_xlfn.XLOOKUP(D86,Productos!A:A,Productos!C:C,"Sin categoria")</f>
        <v>Electrónica</v>
      </c>
      <c r="H86" s="2" t="str">
        <f>_xlfn.XLOOKUP(C86,Clientes!A:A,Clientes!C:C,"Sin Region")</f>
        <v>Medellín</v>
      </c>
    </row>
    <row r="87" spans="1:8" ht="15.75" hidden="1" customHeight="1" x14ac:dyDescent="0.25">
      <c r="A87" s="2" t="s">
        <v>104</v>
      </c>
      <c r="B87" s="9">
        <v>46265</v>
      </c>
      <c r="C87" s="2" t="s">
        <v>221</v>
      </c>
      <c r="D87" s="2" t="s">
        <v>23</v>
      </c>
      <c r="E87" s="2">
        <v>11</v>
      </c>
      <c r="F87" s="4">
        <v>204493</v>
      </c>
      <c r="G87" s="2" t="str">
        <f>_xlfn.XLOOKUP(D87,Productos!A:A,Productos!C:C,"Sin categoria")</f>
        <v>Hogar</v>
      </c>
      <c r="H87" s="2" t="str">
        <f>_xlfn.XLOOKUP(C87,Clientes!A:A,Clientes!C:C,"Sin Region")</f>
        <v>Bogotá</v>
      </c>
    </row>
    <row r="88" spans="1:8" ht="15.75" hidden="1" customHeight="1" x14ac:dyDescent="0.25">
      <c r="A88" s="2" t="s">
        <v>105</v>
      </c>
      <c r="B88" s="9">
        <v>46074</v>
      </c>
      <c r="C88" s="2" t="s">
        <v>222</v>
      </c>
      <c r="D88" s="2" t="s">
        <v>64</v>
      </c>
      <c r="E88" s="2">
        <v>12</v>
      </c>
      <c r="F88" s="4">
        <v>196157</v>
      </c>
      <c r="G88" s="2" t="str">
        <f>_xlfn.XLOOKUP(D88,Productos!A:A,Productos!C:C,"Sin categoria")</f>
        <v>Hogar</v>
      </c>
      <c r="H88" s="2" t="str">
        <f>_xlfn.XLOOKUP(C88,Clientes!A:A,Clientes!C:C,"Sin Region")</f>
        <v>Cartagena</v>
      </c>
    </row>
    <row r="89" spans="1:8" ht="15.75" hidden="1" customHeight="1" x14ac:dyDescent="0.25">
      <c r="A89" s="2" t="s">
        <v>106</v>
      </c>
      <c r="B89" s="9">
        <v>46158</v>
      </c>
      <c r="C89" s="2" t="s">
        <v>223</v>
      </c>
      <c r="D89" s="2" t="s">
        <v>20</v>
      </c>
      <c r="E89" s="2">
        <v>6</v>
      </c>
      <c r="F89" s="4">
        <v>752115</v>
      </c>
      <c r="G89" s="2" t="str">
        <f>_xlfn.XLOOKUP(D89,Productos!A:A,Productos!C:C,"Sin categoria")</f>
        <v>Electrónica</v>
      </c>
      <c r="H89" s="2" t="str">
        <f>_xlfn.XLOOKUP(C89,Clientes!A:A,Clientes!C:C,"Sin Region")</f>
        <v>Medellín</v>
      </c>
    </row>
    <row r="90" spans="1:8" ht="15.75" hidden="1" customHeight="1" x14ac:dyDescent="0.25">
      <c r="A90" s="2" t="s">
        <v>107</v>
      </c>
      <c r="B90" s="9">
        <v>46272</v>
      </c>
      <c r="C90" s="2" t="s">
        <v>224</v>
      </c>
      <c r="D90" s="2" t="s">
        <v>28</v>
      </c>
      <c r="E90" s="2">
        <v>5</v>
      </c>
      <c r="F90" s="4">
        <v>283536</v>
      </c>
      <c r="G90" s="2" t="str">
        <f>_xlfn.XLOOKUP(D90,Productos!A:A,Productos!C:C,"Sin categoria")</f>
        <v>Electrónica</v>
      </c>
      <c r="H90" s="2" t="str">
        <f>_xlfn.XLOOKUP(C90,Clientes!A:A,Clientes!C:C,"Sin Region")</f>
        <v>Bogotá</v>
      </c>
    </row>
    <row r="91" spans="1:8" ht="15.75" hidden="1" customHeight="1" x14ac:dyDescent="0.25">
      <c r="A91" s="2" t="s">
        <v>108</v>
      </c>
      <c r="B91" s="9">
        <v>46347</v>
      </c>
      <c r="C91" s="2" t="s">
        <v>225</v>
      </c>
      <c r="D91" s="2" t="s">
        <v>10</v>
      </c>
      <c r="E91" s="2">
        <v>1</v>
      </c>
      <c r="F91" s="4">
        <v>93225</v>
      </c>
      <c r="G91" s="2" t="str">
        <f>_xlfn.XLOOKUP(D91,Productos!A:A,Productos!C:C,"Sin categoria")</f>
        <v>Electrónica</v>
      </c>
      <c r="H91" s="2" t="str">
        <f>_xlfn.XLOOKUP(C91,Clientes!A:A,Clientes!C:C,"Sin Region")</f>
        <v>Bogotá</v>
      </c>
    </row>
    <row r="92" spans="1:8" ht="15.75" hidden="1" customHeight="1" x14ac:dyDescent="0.25">
      <c r="A92" s="2" t="s">
        <v>109</v>
      </c>
      <c r="B92" s="9">
        <v>46148</v>
      </c>
      <c r="C92" s="2" t="s">
        <v>226</v>
      </c>
      <c r="D92" s="2" t="s">
        <v>23</v>
      </c>
      <c r="E92" s="2">
        <v>3</v>
      </c>
      <c r="F92" s="4">
        <v>127804</v>
      </c>
      <c r="G92" s="2" t="str">
        <f>_xlfn.XLOOKUP(D92,Productos!A:A,Productos!C:C,"Sin categoria")</f>
        <v>Hogar</v>
      </c>
      <c r="H92" s="2" t="str">
        <f>_xlfn.XLOOKUP(C92,Clientes!A:A,Clientes!C:C,"Sin Region")</f>
        <v>Bogotá</v>
      </c>
    </row>
    <row r="93" spans="1:8" ht="15.75" customHeight="1" x14ac:dyDescent="0.25">
      <c r="A93" s="2" t="s">
        <v>110</v>
      </c>
      <c r="B93" s="9">
        <v>46321</v>
      </c>
      <c r="C93" s="2" t="s">
        <v>227</v>
      </c>
      <c r="D93" s="2" t="s">
        <v>37</v>
      </c>
      <c r="E93" s="2">
        <v>5</v>
      </c>
      <c r="F93" s="4">
        <v>744233</v>
      </c>
      <c r="G93" s="2" t="str">
        <f>_xlfn.XLOOKUP(D93,Productos!A:A,Productos!C:C,"Sin categoria")</f>
        <v>Linea blanca</v>
      </c>
      <c r="H93" s="2" t="str">
        <f>_xlfn.XLOOKUP(C93,Clientes!A:A,Clientes!C:C,"Sin Region")</f>
        <v>Cali</v>
      </c>
    </row>
    <row r="94" spans="1:8" ht="15.75" hidden="1" customHeight="1" x14ac:dyDescent="0.25">
      <c r="A94" s="2" t="s">
        <v>111</v>
      </c>
      <c r="B94" s="9">
        <v>46103</v>
      </c>
      <c r="C94" s="2" t="s">
        <v>228</v>
      </c>
      <c r="D94" s="2" t="s">
        <v>10</v>
      </c>
      <c r="E94" s="2">
        <v>5</v>
      </c>
      <c r="F94" s="4">
        <v>714975</v>
      </c>
      <c r="G94" s="2" t="str">
        <f>_xlfn.XLOOKUP(D94,Productos!A:A,Productos!C:C,"Sin categoria")</f>
        <v>Electrónica</v>
      </c>
      <c r="H94" s="2" t="str">
        <f>_xlfn.XLOOKUP(C94,Clientes!A:A,Clientes!C:C,"Sin Region")</f>
        <v>Cali</v>
      </c>
    </row>
    <row r="95" spans="1:8" ht="15.75" hidden="1" customHeight="1" x14ac:dyDescent="0.25">
      <c r="A95" s="2" t="s">
        <v>112</v>
      </c>
      <c r="B95" s="9">
        <v>46177</v>
      </c>
      <c r="C95" s="2" t="s">
        <v>229</v>
      </c>
      <c r="D95" s="2" t="s">
        <v>18</v>
      </c>
      <c r="E95" s="2">
        <v>7</v>
      </c>
      <c r="F95" s="4">
        <v>644704</v>
      </c>
      <c r="G95" s="2" t="str">
        <f>_xlfn.XLOOKUP(D95,Productos!A:A,Productos!C:C,"Sin categoria")</f>
        <v>Electrónica</v>
      </c>
      <c r="H95" s="2" t="str">
        <f>_xlfn.XLOOKUP(C95,Clientes!A:A,Clientes!C:C,"Sin Region")</f>
        <v>Medellín</v>
      </c>
    </row>
    <row r="96" spans="1:8" ht="15.75" hidden="1" customHeight="1" x14ac:dyDescent="0.25">
      <c r="A96" s="2" t="s">
        <v>113</v>
      </c>
      <c r="B96" s="9">
        <v>46360</v>
      </c>
      <c r="C96" s="2" t="s">
        <v>230</v>
      </c>
      <c r="D96" s="2" t="s">
        <v>23</v>
      </c>
      <c r="E96" s="2">
        <v>12</v>
      </c>
      <c r="F96" s="4">
        <v>96426</v>
      </c>
      <c r="G96" s="2" t="str">
        <f>_xlfn.XLOOKUP(D96,Productos!A:A,Productos!C:C,"Sin categoria")</f>
        <v>Hogar</v>
      </c>
      <c r="H96" s="2" t="str">
        <f>_xlfn.XLOOKUP(C96,Clientes!A:A,Clientes!C:C,"Sin Region")</f>
        <v>Bogotá</v>
      </c>
    </row>
    <row r="97" spans="1:8" ht="15.75" hidden="1" customHeight="1" x14ac:dyDescent="0.25">
      <c r="A97" s="2" t="s">
        <v>114</v>
      </c>
      <c r="B97" s="9">
        <v>46169</v>
      </c>
      <c r="C97" s="2" t="s">
        <v>231</v>
      </c>
      <c r="D97" s="2" t="s">
        <v>18</v>
      </c>
      <c r="E97" s="2">
        <v>4</v>
      </c>
      <c r="F97" s="4">
        <v>696051</v>
      </c>
      <c r="G97" s="2" t="str">
        <f>_xlfn.XLOOKUP(D97,Productos!A:A,Productos!C:C,"Sin categoria")</f>
        <v>Electrónica</v>
      </c>
      <c r="H97" s="2" t="str">
        <f>_xlfn.XLOOKUP(C97,Clientes!A:A,Clientes!C:C,"Sin Region")</f>
        <v>Medellín</v>
      </c>
    </row>
    <row r="98" spans="1:8" ht="15.75" hidden="1" customHeight="1" x14ac:dyDescent="0.25">
      <c r="A98" s="2" t="s">
        <v>115</v>
      </c>
      <c r="B98" s="9">
        <v>46093</v>
      </c>
      <c r="C98" s="2" t="s">
        <v>232</v>
      </c>
      <c r="D98" s="2" t="s">
        <v>10</v>
      </c>
      <c r="E98" s="2">
        <v>10</v>
      </c>
      <c r="F98" s="4">
        <v>427584</v>
      </c>
      <c r="G98" s="2" t="str">
        <f>_xlfn.XLOOKUP(D98,Productos!A:A,Productos!C:C,"Sin categoria")</f>
        <v>Electrónica</v>
      </c>
      <c r="H98" s="2" t="str">
        <f>_xlfn.XLOOKUP(C98,Clientes!A:A,Clientes!C:C,"Sin Region")</f>
        <v>Cartagena</v>
      </c>
    </row>
    <row r="99" spans="1:8" ht="15.75" customHeight="1" x14ac:dyDescent="0.25">
      <c r="A99" s="2" t="s">
        <v>116</v>
      </c>
      <c r="B99" s="9">
        <v>46235</v>
      </c>
      <c r="C99" s="2" t="s">
        <v>233</v>
      </c>
      <c r="D99" s="2" t="s">
        <v>37</v>
      </c>
      <c r="E99" s="2">
        <v>6</v>
      </c>
      <c r="F99" s="4">
        <v>601639</v>
      </c>
      <c r="G99" s="2" t="str">
        <f>_xlfn.XLOOKUP(D99,Productos!A:A,Productos!C:C,"Sin categoria")</f>
        <v>Linea blanca</v>
      </c>
      <c r="H99" s="2" t="str">
        <f>_xlfn.XLOOKUP(C99,Clientes!A:A,Clientes!C:C,"Sin Region")</f>
        <v>Medellín</v>
      </c>
    </row>
    <row r="100" spans="1:8" ht="15.75" hidden="1" customHeight="1" x14ac:dyDescent="0.25">
      <c r="A100" s="2" t="s">
        <v>117</v>
      </c>
      <c r="B100" s="9">
        <v>46269</v>
      </c>
      <c r="C100" s="2" t="s">
        <v>234</v>
      </c>
      <c r="D100" s="2" t="s">
        <v>7</v>
      </c>
      <c r="E100" s="2">
        <v>2</v>
      </c>
      <c r="F100" s="4">
        <v>192594</v>
      </c>
      <c r="G100" s="2" t="str">
        <f>_xlfn.XLOOKUP(D100,Productos!A:A,Productos!C:C,"Sin categoria")</f>
        <v>Electrónica</v>
      </c>
      <c r="H100" s="2" t="str">
        <f>_xlfn.XLOOKUP(C100,Clientes!A:A,Clientes!C:C,"Sin Region")</f>
        <v>Cartagena</v>
      </c>
    </row>
    <row r="101" spans="1:8" ht="15.75" hidden="1" customHeight="1" x14ac:dyDescent="0.25">
      <c r="A101" s="2" t="s">
        <v>118</v>
      </c>
      <c r="B101" s="9">
        <v>46368</v>
      </c>
      <c r="C101" s="2" t="s">
        <v>235</v>
      </c>
      <c r="D101" s="2" t="s">
        <v>23</v>
      </c>
      <c r="E101" s="2">
        <v>1</v>
      </c>
      <c r="F101" s="4">
        <v>322304</v>
      </c>
      <c r="G101" s="2" t="str">
        <f>_xlfn.XLOOKUP(D101,Productos!A:A,Productos!C:C,"Sin categoria")</f>
        <v>Hogar</v>
      </c>
      <c r="H101" s="2" t="str">
        <f>_xlfn.XLOOKUP(C101,Clientes!A:A,Clientes!C:C,"Sin Region")</f>
        <v>Barranquilla</v>
      </c>
    </row>
    <row r="102" spans="1:8" ht="15.75" customHeight="1" x14ac:dyDescent="0.25">
      <c r="G102"/>
      <c r="H102"/>
    </row>
    <row r="103" spans="1:8" ht="15.75" customHeight="1" x14ac:dyDescent="0.25">
      <c r="G103"/>
      <c r="H103"/>
    </row>
    <row r="104" spans="1:8" ht="15.75" customHeight="1" x14ac:dyDescent="0.25">
      <c r="G104"/>
      <c r="H104"/>
    </row>
    <row r="105" spans="1:8" ht="15.75" customHeight="1" x14ac:dyDescent="0.25">
      <c r="G105"/>
      <c r="H105"/>
    </row>
    <row r="106" spans="1:8" ht="15.75" customHeight="1" x14ac:dyDescent="0.25">
      <c r="G106"/>
      <c r="H106"/>
    </row>
    <row r="107" spans="1:8" ht="15.75" customHeight="1" x14ac:dyDescent="0.25">
      <c r="G107"/>
      <c r="H107"/>
    </row>
    <row r="108" spans="1:8" ht="15.75" customHeight="1" x14ac:dyDescent="0.25">
      <c r="G108"/>
      <c r="H108"/>
    </row>
    <row r="109" spans="1:8" ht="15.75" customHeight="1" x14ac:dyDescent="0.25">
      <c r="G109"/>
      <c r="H109"/>
    </row>
    <row r="110" spans="1:8" ht="15.75" customHeight="1" x14ac:dyDescent="0.25">
      <c r="G110"/>
      <c r="H110"/>
    </row>
    <row r="111" spans="1:8" ht="15.75" customHeight="1" x14ac:dyDescent="0.25">
      <c r="G111"/>
      <c r="H111"/>
    </row>
    <row r="112" spans="1:8" ht="15.75" customHeight="1" x14ac:dyDescent="0.25">
      <c r="G112"/>
      <c r="H112"/>
    </row>
    <row r="113" spans="7:8" ht="15.75" customHeight="1" x14ac:dyDescent="0.25">
      <c r="G113"/>
      <c r="H113"/>
    </row>
    <row r="114" spans="7:8" ht="15.75" customHeight="1" x14ac:dyDescent="0.25">
      <c r="G114"/>
      <c r="H114"/>
    </row>
    <row r="115" spans="7:8" ht="15.75" customHeight="1" x14ac:dyDescent="0.25">
      <c r="G115"/>
      <c r="H115"/>
    </row>
    <row r="116" spans="7:8" ht="15.75" customHeight="1" x14ac:dyDescent="0.25">
      <c r="G116"/>
      <c r="H116"/>
    </row>
    <row r="117" spans="7:8" ht="15.75" customHeight="1" x14ac:dyDescent="0.25">
      <c r="G117"/>
      <c r="H117"/>
    </row>
    <row r="118" spans="7:8" ht="15.75" customHeight="1" x14ac:dyDescent="0.25">
      <c r="G118"/>
      <c r="H118"/>
    </row>
    <row r="119" spans="7:8" ht="15.75" customHeight="1" x14ac:dyDescent="0.25">
      <c r="G119"/>
      <c r="H119"/>
    </row>
    <row r="120" spans="7:8" ht="15.75" customHeight="1" x14ac:dyDescent="0.25">
      <c r="G120"/>
      <c r="H120"/>
    </row>
    <row r="121" spans="7:8" ht="15.75" customHeight="1" x14ac:dyDescent="0.25">
      <c r="G121"/>
      <c r="H121"/>
    </row>
    <row r="122" spans="7:8" ht="15.75" customHeight="1" x14ac:dyDescent="0.25">
      <c r="G122"/>
      <c r="H122"/>
    </row>
    <row r="123" spans="7:8" ht="15.75" customHeight="1" x14ac:dyDescent="0.25">
      <c r="G123"/>
      <c r="H123"/>
    </row>
    <row r="124" spans="7:8" ht="15.75" customHeight="1" x14ac:dyDescent="0.25">
      <c r="G124"/>
      <c r="H124"/>
    </row>
    <row r="125" spans="7:8" ht="15.75" customHeight="1" x14ac:dyDescent="0.25">
      <c r="G125"/>
      <c r="H125"/>
    </row>
    <row r="126" spans="7:8" ht="15.75" customHeight="1" x14ac:dyDescent="0.25">
      <c r="G126"/>
      <c r="H126"/>
    </row>
    <row r="127" spans="7:8" ht="15.75" customHeight="1" x14ac:dyDescent="0.25">
      <c r="G127"/>
      <c r="H127"/>
    </row>
    <row r="128" spans="7:8" ht="15.75" customHeight="1" x14ac:dyDescent="0.25">
      <c r="G128"/>
      <c r="H128"/>
    </row>
    <row r="129" spans="7:8" ht="15.75" customHeight="1" x14ac:dyDescent="0.25">
      <c r="G129"/>
      <c r="H129"/>
    </row>
    <row r="130" spans="7:8" ht="15.75" customHeight="1" x14ac:dyDescent="0.25">
      <c r="G130"/>
      <c r="H130"/>
    </row>
    <row r="131" spans="7:8" ht="15.75" customHeight="1" x14ac:dyDescent="0.25">
      <c r="G131"/>
      <c r="H131"/>
    </row>
    <row r="132" spans="7:8" ht="15.75" customHeight="1" x14ac:dyDescent="0.25">
      <c r="G132"/>
      <c r="H132"/>
    </row>
    <row r="133" spans="7:8" ht="15.75" customHeight="1" x14ac:dyDescent="0.25">
      <c r="G133"/>
      <c r="H133"/>
    </row>
    <row r="134" spans="7:8" ht="15.75" customHeight="1" x14ac:dyDescent="0.25">
      <c r="G134"/>
      <c r="H134"/>
    </row>
    <row r="135" spans="7:8" ht="15.75" customHeight="1" x14ac:dyDescent="0.25">
      <c r="G135"/>
      <c r="H135"/>
    </row>
    <row r="136" spans="7:8" ht="15.75" customHeight="1" x14ac:dyDescent="0.25">
      <c r="G136"/>
      <c r="H136"/>
    </row>
    <row r="137" spans="7:8" ht="15.75" customHeight="1" x14ac:dyDescent="0.25">
      <c r="G137"/>
      <c r="H137"/>
    </row>
    <row r="138" spans="7:8" ht="15.75" customHeight="1" x14ac:dyDescent="0.25">
      <c r="G138"/>
      <c r="H138"/>
    </row>
    <row r="139" spans="7:8" ht="15.75" customHeight="1" x14ac:dyDescent="0.25">
      <c r="G139"/>
      <c r="H139"/>
    </row>
    <row r="140" spans="7:8" ht="15.75" customHeight="1" x14ac:dyDescent="0.25">
      <c r="G140"/>
      <c r="H140"/>
    </row>
    <row r="141" spans="7:8" ht="15.75" customHeight="1" x14ac:dyDescent="0.25">
      <c r="G141"/>
      <c r="H141"/>
    </row>
    <row r="142" spans="7:8" ht="15.75" customHeight="1" x14ac:dyDescent="0.25">
      <c r="G142"/>
      <c r="H142"/>
    </row>
    <row r="143" spans="7:8" ht="15.75" customHeight="1" x14ac:dyDescent="0.25">
      <c r="G143"/>
      <c r="H143"/>
    </row>
    <row r="144" spans="7:8" ht="15.75" customHeight="1" x14ac:dyDescent="0.25">
      <c r="G144"/>
      <c r="H144"/>
    </row>
    <row r="145" spans="7:8" ht="15.75" customHeight="1" x14ac:dyDescent="0.25">
      <c r="G145"/>
      <c r="H145"/>
    </row>
    <row r="146" spans="7:8" ht="15.75" customHeight="1" x14ac:dyDescent="0.25">
      <c r="G146"/>
      <c r="H146"/>
    </row>
    <row r="147" spans="7:8" ht="15.75" customHeight="1" x14ac:dyDescent="0.25">
      <c r="G147"/>
      <c r="H147"/>
    </row>
    <row r="148" spans="7:8" ht="15.75" customHeight="1" x14ac:dyDescent="0.25">
      <c r="G148"/>
      <c r="H148"/>
    </row>
    <row r="149" spans="7:8" ht="15.75" customHeight="1" x14ac:dyDescent="0.25">
      <c r="G149"/>
      <c r="H149"/>
    </row>
    <row r="150" spans="7:8" ht="15.75" customHeight="1" x14ac:dyDescent="0.25">
      <c r="G150"/>
      <c r="H150"/>
    </row>
    <row r="151" spans="7:8" ht="15.75" customHeight="1" x14ac:dyDescent="0.25">
      <c r="G151"/>
      <c r="H151"/>
    </row>
    <row r="152" spans="7:8" ht="15.75" customHeight="1" x14ac:dyDescent="0.25">
      <c r="G152"/>
      <c r="H152"/>
    </row>
    <row r="153" spans="7:8" ht="15.75" customHeight="1" x14ac:dyDescent="0.25">
      <c r="G153"/>
      <c r="H153"/>
    </row>
    <row r="154" spans="7:8" ht="15.75" customHeight="1" x14ac:dyDescent="0.25">
      <c r="G154"/>
      <c r="H154"/>
    </row>
    <row r="155" spans="7:8" ht="15.75" customHeight="1" x14ac:dyDescent="0.25">
      <c r="G155"/>
      <c r="H155"/>
    </row>
    <row r="156" spans="7:8" ht="15.75" customHeight="1" x14ac:dyDescent="0.25">
      <c r="G156"/>
      <c r="H156"/>
    </row>
    <row r="157" spans="7:8" ht="15.75" customHeight="1" x14ac:dyDescent="0.25">
      <c r="G157"/>
      <c r="H157"/>
    </row>
    <row r="158" spans="7:8" ht="15.75" customHeight="1" x14ac:dyDescent="0.25">
      <c r="G158"/>
      <c r="H158"/>
    </row>
    <row r="159" spans="7:8" ht="15.75" customHeight="1" x14ac:dyDescent="0.25">
      <c r="G159"/>
      <c r="H159"/>
    </row>
    <row r="160" spans="7:8" ht="15.75" customHeight="1" x14ac:dyDescent="0.25">
      <c r="G160"/>
      <c r="H160"/>
    </row>
    <row r="161" spans="7:8" ht="15.75" customHeight="1" x14ac:dyDescent="0.25">
      <c r="G161"/>
      <c r="H161"/>
    </row>
    <row r="162" spans="7:8" ht="15.75" customHeight="1" x14ac:dyDescent="0.25">
      <c r="G162"/>
      <c r="H162"/>
    </row>
    <row r="163" spans="7:8" ht="15.75" customHeight="1" x14ac:dyDescent="0.25">
      <c r="G163"/>
      <c r="H163"/>
    </row>
    <row r="164" spans="7:8" ht="15.75" customHeight="1" x14ac:dyDescent="0.25">
      <c r="G164"/>
      <c r="H164"/>
    </row>
    <row r="165" spans="7:8" ht="15.75" customHeight="1" x14ac:dyDescent="0.25">
      <c r="G165"/>
      <c r="H165"/>
    </row>
    <row r="166" spans="7:8" ht="15.75" customHeight="1" x14ac:dyDescent="0.25">
      <c r="G166"/>
      <c r="H166"/>
    </row>
    <row r="167" spans="7:8" ht="15.75" customHeight="1" x14ac:dyDescent="0.25">
      <c r="G167"/>
      <c r="H167"/>
    </row>
    <row r="168" spans="7:8" ht="15.75" customHeight="1" x14ac:dyDescent="0.25">
      <c r="G168"/>
      <c r="H168"/>
    </row>
    <row r="169" spans="7:8" ht="15.75" customHeight="1" x14ac:dyDescent="0.25">
      <c r="G169"/>
      <c r="H169"/>
    </row>
    <row r="170" spans="7:8" ht="15.75" customHeight="1" x14ac:dyDescent="0.25">
      <c r="G170"/>
      <c r="H170"/>
    </row>
    <row r="171" spans="7:8" ht="15.75" customHeight="1" x14ac:dyDescent="0.25">
      <c r="G171"/>
      <c r="H171"/>
    </row>
    <row r="172" spans="7:8" ht="15.75" customHeight="1" x14ac:dyDescent="0.25">
      <c r="G172"/>
      <c r="H172"/>
    </row>
    <row r="173" spans="7:8" ht="15.75" customHeight="1" x14ac:dyDescent="0.25">
      <c r="G173"/>
      <c r="H173"/>
    </row>
    <row r="174" spans="7:8" ht="15.75" customHeight="1" x14ac:dyDescent="0.25">
      <c r="G174"/>
      <c r="H174"/>
    </row>
    <row r="175" spans="7:8" ht="15.75" customHeight="1" x14ac:dyDescent="0.25">
      <c r="G175"/>
      <c r="H175"/>
    </row>
    <row r="176" spans="7:8" ht="15.75" customHeight="1" x14ac:dyDescent="0.25">
      <c r="G176"/>
      <c r="H176"/>
    </row>
    <row r="177" spans="7:8" ht="15.75" customHeight="1" x14ac:dyDescent="0.25">
      <c r="G177"/>
      <c r="H177"/>
    </row>
    <row r="178" spans="7:8" ht="15.75" customHeight="1" x14ac:dyDescent="0.25">
      <c r="G178"/>
      <c r="H178"/>
    </row>
    <row r="179" spans="7:8" ht="15.75" customHeight="1" x14ac:dyDescent="0.25">
      <c r="G179"/>
      <c r="H179"/>
    </row>
    <row r="180" spans="7:8" ht="15.75" customHeight="1" x14ac:dyDescent="0.25">
      <c r="G180"/>
      <c r="H180"/>
    </row>
    <row r="181" spans="7:8" ht="15.75" customHeight="1" x14ac:dyDescent="0.25">
      <c r="G181"/>
      <c r="H181"/>
    </row>
    <row r="182" spans="7:8" ht="15.75" customHeight="1" x14ac:dyDescent="0.25">
      <c r="G182"/>
      <c r="H182"/>
    </row>
    <row r="183" spans="7:8" ht="15.75" customHeight="1" x14ac:dyDescent="0.25">
      <c r="G183"/>
      <c r="H183"/>
    </row>
    <row r="184" spans="7:8" ht="15.75" customHeight="1" x14ac:dyDescent="0.25">
      <c r="G184"/>
      <c r="H184"/>
    </row>
    <row r="185" spans="7:8" ht="15.75" customHeight="1" x14ac:dyDescent="0.25">
      <c r="G185"/>
      <c r="H185"/>
    </row>
    <row r="186" spans="7:8" ht="15.75" customHeight="1" x14ac:dyDescent="0.25">
      <c r="G186"/>
      <c r="H186"/>
    </row>
    <row r="187" spans="7:8" ht="15.75" customHeight="1" x14ac:dyDescent="0.25">
      <c r="G187"/>
      <c r="H187"/>
    </row>
    <row r="188" spans="7:8" ht="15.75" customHeight="1" x14ac:dyDescent="0.25">
      <c r="G188"/>
      <c r="H188"/>
    </row>
    <row r="189" spans="7:8" ht="15.75" customHeight="1" x14ac:dyDescent="0.25">
      <c r="G189"/>
      <c r="H189"/>
    </row>
    <row r="190" spans="7:8" ht="15.75" customHeight="1" x14ac:dyDescent="0.25">
      <c r="G190"/>
      <c r="H190"/>
    </row>
    <row r="191" spans="7:8" ht="15.75" customHeight="1" x14ac:dyDescent="0.25">
      <c r="G191"/>
      <c r="H191"/>
    </row>
    <row r="192" spans="7:8" ht="15.75" customHeight="1" x14ac:dyDescent="0.25">
      <c r="G192"/>
      <c r="H192"/>
    </row>
    <row r="193" spans="7:8" ht="15.75" customHeight="1" x14ac:dyDescent="0.25">
      <c r="G193"/>
      <c r="H193"/>
    </row>
    <row r="194" spans="7:8" ht="15.75" customHeight="1" x14ac:dyDescent="0.25">
      <c r="G194"/>
      <c r="H194"/>
    </row>
    <row r="195" spans="7:8" ht="15.75" customHeight="1" x14ac:dyDescent="0.25">
      <c r="G195"/>
      <c r="H195"/>
    </row>
    <row r="196" spans="7:8" ht="15.75" customHeight="1" x14ac:dyDescent="0.25">
      <c r="G196"/>
      <c r="H196"/>
    </row>
    <row r="197" spans="7:8" ht="15.75" customHeight="1" x14ac:dyDescent="0.25">
      <c r="G197"/>
      <c r="H197"/>
    </row>
    <row r="198" spans="7:8" ht="15.75" customHeight="1" x14ac:dyDescent="0.25">
      <c r="G198"/>
      <c r="H198"/>
    </row>
    <row r="199" spans="7:8" ht="15.75" customHeight="1" x14ac:dyDescent="0.25">
      <c r="G199"/>
      <c r="H199"/>
    </row>
    <row r="200" spans="7:8" ht="15.75" customHeight="1" x14ac:dyDescent="0.25">
      <c r="G200"/>
      <c r="H200"/>
    </row>
    <row r="201" spans="7:8" ht="15.75" customHeight="1" x14ac:dyDescent="0.25">
      <c r="G201"/>
      <c r="H201"/>
    </row>
    <row r="202" spans="7:8" ht="15.75" customHeight="1" x14ac:dyDescent="0.25">
      <c r="G202"/>
      <c r="H202"/>
    </row>
    <row r="203" spans="7:8" ht="15.75" customHeight="1" x14ac:dyDescent="0.25">
      <c r="G203"/>
      <c r="H203"/>
    </row>
    <row r="204" spans="7:8" ht="15.75" customHeight="1" x14ac:dyDescent="0.25">
      <c r="G204"/>
      <c r="H204"/>
    </row>
    <row r="205" spans="7:8" ht="15.75" customHeight="1" x14ac:dyDescent="0.25">
      <c r="G205"/>
      <c r="H205"/>
    </row>
    <row r="206" spans="7:8" ht="15.75" customHeight="1" x14ac:dyDescent="0.25">
      <c r="G206"/>
      <c r="H206"/>
    </row>
    <row r="207" spans="7:8" ht="15.75" customHeight="1" x14ac:dyDescent="0.25">
      <c r="G207"/>
      <c r="H207"/>
    </row>
    <row r="208" spans="7:8" ht="15.75" customHeight="1" x14ac:dyDescent="0.25">
      <c r="G208"/>
      <c r="H208"/>
    </row>
    <row r="209" spans="7:8" ht="15.75" customHeight="1" x14ac:dyDescent="0.25">
      <c r="G209"/>
      <c r="H209"/>
    </row>
    <row r="210" spans="7:8" ht="15.75" customHeight="1" x14ac:dyDescent="0.25">
      <c r="G210"/>
      <c r="H210"/>
    </row>
    <row r="211" spans="7:8" ht="15.75" customHeight="1" x14ac:dyDescent="0.25">
      <c r="G211"/>
      <c r="H211"/>
    </row>
    <row r="212" spans="7:8" ht="15.75" customHeight="1" x14ac:dyDescent="0.25">
      <c r="G212"/>
      <c r="H212"/>
    </row>
    <row r="213" spans="7:8" ht="15.75" customHeight="1" x14ac:dyDescent="0.25">
      <c r="G213"/>
      <c r="H213"/>
    </row>
    <row r="214" spans="7:8" ht="15.75" customHeight="1" x14ac:dyDescent="0.25">
      <c r="G214"/>
      <c r="H214"/>
    </row>
    <row r="215" spans="7:8" ht="15.75" customHeight="1" x14ac:dyDescent="0.25">
      <c r="G215"/>
      <c r="H215"/>
    </row>
    <row r="216" spans="7:8" ht="15.75" customHeight="1" x14ac:dyDescent="0.25">
      <c r="G216"/>
      <c r="H216"/>
    </row>
    <row r="217" spans="7:8" ht="15.75" customHeight="1" x14ac:dyDescent="0.25">
      <c r="G217"/>
      <c r="H217"/>
    </row>
    <row r="218" spans="7:8" ht="15.75" customHeight="1" x14ac:dyDescent="0.25">
      <c r="G218"/>
      <c r="H218"/>
    </row>
    <row r="219" spans="7:8" ht="15.75" customHeight="1" x14ac:dyDescent="0.25">
      <c r="G219"/>
      <c r="H219"/>
    </row>
    <row r="220" spans="7:8" ht="15.75" customHeight="1" x14ac:dyDescent="0.25">
      <c r="G220"/>
      <c r="H220"/>
    </row>
    <row r="221" spans="7:8" ht="15.75" customHeight="1" x14ac:dyDescent="0.25">
      <c r="G221"/>
      <c r="H221"/>
    </row>
    <row r="222" spans="7:8" ht="15.75" customHeight="1" x14ac:dyDescent="0.25">
      <c r="G222"/>
      <c r="H222"/>
    </row>
    <row r="223" spans="7:8" ht="15.75" customHeight="1" x14ac:dyDescent="0.25">
      <c r="G223"/>
      <c r="H223"/>
    </row>
    <row r="224" spans="7:8" ht="15.75" customHeight="1" x14ac:dyDescent="0.25">
      <c r="G224"/>
      <c r="H224"/>
    </row>
    <row r="225" spans="7:8" ht="15.75" customHeight="1" x14ac:dyDescent="0.25">
      <c r="G225"/>
      <c r="H225"/>
    </row>
    <row r="226" spans="7:8" ht="15.75" customHeight="1" x14ac:dyDescent="0.25">
      <c r="G226"/>
      <c r="H226"/>
    </row>
    <row r="227" spans="7:8" ht="15.75" customHeight="1" x14ac:dyDescent="0.25">
      <c r="G227"/>
      <c r="H227"/>
    </row>
    <row r="228" spans="7:8" ht="15.75" customHeight="1" x14ac:dyDescent="0.25">
      <c r="G228"/>
      <c r="H228"/>
    </row>
    <row r="229" spans="7:8" ht="15.75" customHeight="1" x14ac:dyDescent="0.25">
      <c r="G229"/>
      <c r="H229"/>
    </row>
    <row r="230" spans="7:8" ht="15.75" customHeight="1" x14ac:dyDescent="0.25">
      <c r="G230"/>
      <c r="H230"/>
    </row>
    <row r="231" spans="7:8" ht="15.75" customHeight="1" x14ac:dyDescent="0.25">
      <c r="G231"/>
      <c r="H231"/>
    </row>
    <row r="232" spans="7:8" ht="15.75" customHeight="1" x14ac:dyDescent="0.25">
      <c r="G232"/>
      <c r="H232"/>
    </row>
    <row r="233" spans="7:8" ht="15.75" customHeight="1" x14ac:dyDescent="0.25">
      <c r="G233"/>
      <c r="H233"/>
    </row>
    <row r="234" spans="7:8" ht="15.75" customHeight="1" x14ac:dyDescent="0.25">
      <c r="G234"/>
      <c r="H234"/>
    </row>
    <row r="235" spans="7:8" ht="15.75" customHeight="1" x14ac:dyDescent="0.25">
      <c r="G235"/>
      <c r="H235"/>
    </row>
    <row r="236" spans="7:8" ht="15.75" customHeight="1" x14ac:dyDescent="0.25">
      <c r="G236"/>
      <c r="H236"/>
    </row>
    <row r="237" spans="7:8" ht="15.75" customHeight="1" x14ac:dyDescent="0.25">
      <c r="G237"/>
      <c r="H237"/>
    </row>
    <row r="238" spans="7:8" ht="15.75" customHeight="1" x14ac:dyDescent="0.25">
      <c r="G238"/>
      <c r="H238"/>
    </row>
    <row r="239" spans="7:8" ht="15.75" customHeight="1" x14ac:dyDescent="0.25">
      <c r="G239"/>
      <c r="H239"/>
    </row>
    <row r="240" spans="7:8" ht="15.75" customHeight="1" x14ac:dyDescent="0.25">
      <c r="G240"/>
      <c r="H240"/>
    </row>
    <row r="241" spans="7:8" ht="15.75" customHeight="1" x14ac:dyDescent="0.25">
      <c r="G241"/>
      <c r="H241"/>
    </row>
    <row r="242" spans="7:8" ht="15.75" customHeight="1" x14ac:dyDescent="0.25">
      <c r="G242"/>
      <c r="H242"/>
    </row>
    <row r="243" spans="7:8" ht="15.75" customHeight="1" x14ac:dyDescent="0.25">
      <c r="G243"/>
      <c r="H243"/>
    </row>
    <row r="244" spans="7:8" ht="15.75" customHeight="1" x14ac:dyDescent="0.25">
      <c r="G244"/>
      <c r="H244"/>
    </row>
    <row r="245" spans="7:8" ht="15.75" customHeight="1" x14ac:dyDescent="0.25">
      <c r="G245"/>
      <c r="H245"/>
    </row>
    <row r="246" spans="7:8" ht="15.75" customHeight="1" x14ac:dyDescent="0.25">
      <c r="G246"/>
      <c r="H246"/>
    </row>
    <row r="247" spans="7:8" ht="15.75" customHeight="1" x14ac:dyDescent="0.25">
      <c r="G247"/>
      <c r="H247"/>
    </row>
    <row r="248" spans="7:8" ht="15.75" customHeight="1" x14ac:dyDescent="0.25">
      <c r="G248"/>
      <c r="H248"/>
    </row>
    <row r="249" spans="7:8" ht="15.75" customHeight="1" x14ac:dyDescent="0.25">
      <c r="G249"/>
      <c r="H249"/>
    </row>
    <row r="250" spans="7:8" ht="15.75" customHeight="1" x14ac:dyDescent="0.25">
      <c r="G250"/>
      <c r="H250"/>
    </row>
    <row r="251" spans="7:8" ht="15.75" customHeight="1" x14ac:dyDescent="0.25">
      <c r="G251"/>
      <c r="H251"/>
    </row>
    <row r="252" spans="7:8" ht="15.75" customHeight="1" x14ac:dyDescent="0.25">
      <c r="G252"/>
      <c r="H252"/>
    </row>
    <row r="253" spans="7:8" ht="15.75" customHeight="1" x14ac:dyDescent="0.25">
      <c r="G253"/>
      <c r="H253"/>
    </row>
    <row r="254" spans="7:8" ht="15.75" customHeight="1" x14ac:dyDescent="0.25">
      <c r="G254"/>
      <c r="H254"/>
    </row>
    <row r="255" spans="7:8" ht="15.75" customHeight="1" x14ac:dyDescent="0.25">
      <c r="G255"/>
      <c r="H255"/>
    </row>
    <row r="256" spans="7:8" ht="15.75" customHeight="1" x14ac:dyDescent="0.25">
      <c r="G256"/>
      <c r="H256"/>
    </row>
    <row r="257" spans="7:8" ht="15.75" customHeight="1" x14ac:dyDescent="0.25">
      <c r="G257"/>
      <c r="H257"/>
    </row>
    <row r="258" spans="7:8" ht="15.75" customHeight="1" x14ac:dyDescent="0.25">
      <c r="G258"/>
      <c r="H258"/>
    </row>
    <row r="259" spans="7:8" ht="15.75" customHeight="1" x14ac:dyDescent="0.25">
      <c r="G259"/>
      <c r="H259"/>
    </row>
    <row r="260" spans="7:8" ht="15.75" customHeight="1" x14ac:dyDescent="0.25">
      <c r="G260"/>
      <c r="H260"/>
    </row>
    <row r="261" spans="7:8" ht="15.75" customHeight="1" x14ac:dyDescent="0.25">
      <c r="G261"/>
      <c r="H261"/>
    </row>
    <row r="262" spans="7:8" ht="15.75" customHeight="1" x14ac:dyDescent="0.25">
      <c r="G262"/>
      <c r="H262"/>
    </row>
    <row r="263" spans="7:8" ht="15.75" customHeight="1" x14ac:dyDescent="0.25">
      <c r="G263"/>
      <c r="H263"/>
    </row>
    <row r="264" spans="7:8" ht="15.75" customHeight="1" x14ac:dyDescent="0.25">
      <c r="G264"/>
      <c r="H264"/>
    </row>
    <row r="265" spans="7:8" ht="15.75" customHeight="1" x14ac:dyDescent="0.25">
      <c r="G265"/>
      <c r="H265"/>
    </row>
    <row r="266" spans="7:8" ht="15.75" customHeight="1" x14ac:dyDescent="0.25">
      <c r="G266"/>
      <c r="H266"/>
    </row>
    <row r="267" spans="7:8" ht="15.75" customHeight="1" x14ac:dyDescent="0.25">
      <c r="G267"/>
      <c r="H267"/>
    </row>
    <row r="268" spans="7:8" ht="15.75" customHeight="1" x14ac:dyDescent="0.25">
      <c r="G268"/>
      <c r="H268"/>
    </row>
    <row r="269" spans="7:8" ht="15.75" customHeight="1" x14ac:dyDescent="0.25">
      <c r="G269"/>
      <c r="H269"/>
    </row>
    <row r="270" spans="7:8" ht="15.75" customHeight="1" x14ac:dyDescent="0.25">
      <c r="G270"/>
      <c r="H270"/>
    </row>
    <row r="271" spans="7:8" ht="15.75" customHeight="1" x14ac:dyDescent="0.25">
      <c r="G271"/>
      <c r="H271"/>
    </row>
    <row r="272" spans="7:8" ht="15.75" customHeight="1" x14ac:dyDescent="0.25">
      <c r="G272"/>
      <c r="H272"/>
    </row>
    <row r="273" spans="7:8" ht="15.75" customHeight="1" x14ac:dyDescent="0.25">
      <c r="G273"/>
      <c r="H273"/>
    </row>
    <row r="274" spans="7:8" ht="15.75" customHeight="1" x14ac:dyDescent="0.25">
      <c r="G274"/>
      <c r="H274"/>
    </row>
    <row r="275" spans="7:8" ht="15.75" customHeight="1" x14ac:dyDescent="0.25">
      <c r="G275"/>
      <c r="H275"/>
    </row>
    <row r="276" spans="7:8" ht="15.75" customHeight="1" x14ac:dyDescent="0.25">
      <c r="G276"/>
      <c r="H276"/>
    </row>
    <row r="277" spans="7:8" ht="15.75" customHeight="1" x14ac:dyDescent="0.25">
      <c r="G277"/>
      <c r="H277"/>
    </row>
    <row r="278" spans="7:8" ht="15.75" customHeight="1" x14ac:dyDescent="0.25">
      <c r="G278"/>
      <c r="H278"/>
    </row>
    <row r="279" spans="7:8" ht="15.75" customHeight="1" x14ac:dyDescent="0.25">
      <c r="G279"/>
      <c r="H279"/>
    </row>
    <row r="280" spans="7:8" ht="15.75" customHeight="1" x14ac:dyDescent="0.25">
      <c r="G280"/>
      <c r="H280"/>
    </row>
    <row r="281" spans="7:8" ht="15.75" customHeight="1" x14ac:dyDescent="0.25">
      <c r="G281"/>
      <c r="H281"/>
    </row>
    <row r="282" spans="7:8" ht="15.75" customHeight="1" x14ac:dyDescent="0.25">
      <c r="G282"/>
      <c r="H282"/>
    </row>
    <row r="283" spans="7:8" ht="15.75" customHeight="1" x14ac:dyDescent="0.25">
      <c r="G283"/>
      <c r="H283"/>
    </row>
    <row r="284" spans="7:8" ht="15.75" customHeight="1" x14ac:dyDescent="0.25">
      <c r="G284"/>
      <c r="H284"/>
    </row>
    <row r="285" spans="7:8" ht="15.75" customHeight="1" x14ac:dyDescent="0.25">
      <c r="G285"/>
      <c r="H285"/>
    </row>
    <row r="286" spans="7:8" ht="15.75" customHeight="1" x14ac:dyDescent="0.25">
      <c r="G286"/>
      <c r="H286"/>
    </row>
    <row r="287" spans="7:8" ht="15.75" customHeight="1" x14ac:dyDescent="0.25">
      <c r="G287"/>
      <c r="H287"/>
    </row>
    <row r="288" spans="7:8" ht="15.75" customHeight="1" x14ac:dyDescent="0.25">
      <c r="G288"/>
      <c r="H288"/>
    </row>
    <row r="289" spans="7:8" ht="15.75" customHeight="1" x14ac:dyDescent="0.25">
      <c r="G289"/>
      <c r="H289"/>
    </row>
    <row r="290" spans="7:8" ht="15.75" customHeight="1" x14ac:dyDescent="0.25">
      <c r="G290"/>
      <c r="H290"/>
    </row>
    <row r="291" spans="7:8" ht="15.75" customHeight="1" x14ac:dyDescent="0.25">
      <c r="G291"/>
      <c r="H291"/>
    </row>
    <row r="292" spans="7:8" ht="15.75" customHeight="1" x14ac:dyDescent="0.25">
      <c r="G292"/>
      <c r="H292"/>
    </row>
    <row r="293" spans="7:8" ht="15.75" customHeight="1" x14ac:dyDescent="0.25">
      <c r="G293"/>
      <c r="H293"/>
    </row>
    <row r="294" spans="7:8" ht="15.75" customHeight="1" x14ac:dyDescent="0.25">
      <c r="G294"/>
      <c r="H294"/>
    </row>
    <row r="295" spans="7:8" ht="15.75" customHeight="1" x14ac:dyDescent="0.25">
      <c r="G295"/>
      <c r="H295"/>
    </row>
    <row r="296" spans="7:8" ht="15.75" customHeight="1" x14ac:dyDescent="0.25">
      <c r="G296"/>
      <c r="H296"/>
    </row>
    <row r="297" spans="7:8" ht="15.75" customHeight="1" x14ac:dyDescent="0.25">
      <c r="G297"/>
      <c r="H297"/>
    </row>
    <row r="298" spans="7:8" ht="15.75" customHeight="1" x14ac:dyDescent="0.25">
      <c r="G298"/>
      <c r="H298"/>
    </row>
    <row r="299" spans="7:8" ht="15.75" customHeight="1" x14ac:dyDescent="0.25">
      <c r="G299"/>
      <c r="H299"/>
    </row>
    <row r="300" spans="7:8" ht="15.75" customHeight="1" x14ac:dyDescent="0.25">
      <c r="G300"/>
      <c r="H300"/>
    </row>
    <row r="301" spans="7:8" ht="15.75" customHeight="1" x14ac:dyDescent="0.25">
      <c r="G301"/>
      <c r="H301"/>
    </row>
    <row r="302" spans="7:8" ht="15.75" customHeight="1" x14ac:dyDescent="0.25">
      <c r="G302"/>
      <c r="H302"/>
    </row>
    <row r="303" spans="7:8" ht="15.75" customHeight="1" x14ac:dyDescent="0.25">
      <c r="G303"/>
      <c r="H303"/>
    </row>
    <row r="304" spans="7:8" ht="15.75" customHeight="1" x14ac:dyDescent="0.25">
      <c r="G304"/>
      <c r="H304"/>
    </row>
    <row r="305" spans="7:8" ht="15.75" customHeight="1" x14ac:dyDescent="0.25">
      <c r="G305"/>
      <c r="H305"/>
    </row>
    <row r="306" spans="7:8" ht="15.75" customHeight="1" x14ac:dyDescent="0.25">
      <c r="G306"/>
      <c r="H306"/>
    </row>
    <row r="307" spans="7:8" ht="15.75" customHeight="1" x14ac:dyDescent="0.25">
      <c r="G307"/>
      <c r="H307"/>
    </row>
    <row r="308" spans="7:8" ht="15.75" customHeight="1" x14ac:dyDescent="0.25">
      <c r="G308"/>
      <c r="H308"/>
    </row>
    <row r="309" spans="7:8" ht="15.75" customHeight="1" x14ac:dyDescent="0.25">
      <c r="G309"/>
      <c r="H309"/>
    </row>
    <row r="310" spans="7:8" ht="15.75" customHeight="1" x14ac:dyDescent="0.25">
      <c r="G310"/>
      <c r="H310"/>
    </row>
    <row r="311" spans="7:8" ht="15.75" customHeight="1" x14ac:dyDescent="0.25">
      <c r="G311"/>
      <c r="H311"/>
    </row>
    <row r="312" spans="7:8" ht="15.75" customHeight="1" x14ac:dyDescent="0.25">
      <c r="G312"/>
      <c r="H312"/>
    </row>
    <row r="313" spans="7:8" ht="15.75" customHeight="1" x14ac:dyDescent="0.25">
      <c r="G313"/>
      <c r="H313"/>
    </row>
    <row r="314" spans="7:8" ht="15.75" customHeight="1" x14ac:dyDescent="0.25">
      <c r="G314"/>
      <c r="H314"/>
    </row>
    <row r="315" spans="7:8" ht="15.75" customHeight="1" x14ac:dyDescent="0.25">
      <c r="G315"/>
      <c r="H315"/>
    </row>
    <row r="316" spans="7:8" ht="15.75" customHeight="1" x14ac:dyDescent="0.25">
      <c r="G316"/>
      <c r="H316"/>
    </row>
    <row r="317" spans="7:8" ht="15.75" customHeight="1" x14ac:dyDescent="0.25">
      <c r="G317"/>
      <c r="H317"/>
    </row>
    <row r="318" spans="7:8" ht="15.75" customHeight="1" x14ac:dyDescent="0.25">
      <c r="G318"/>
      <c r="H318"/>
    </row>
    <row r="319" spans="7:8" ht="15.75" customHeight="1" x14ac:dyDescent="0.25">
      <c r="G319"/>
      <c r="H319"/>
    </row>
    <row r="320" spans="7:8" ht="15.75" customHeight="1" x14ac:dyDescent="0.25">
      <c r="G320"/>
      <c r="H320"/>
    </row>
    <row r="321" spans="7:8" ht="15.75" customHeight="1" x14ac:dyDescent="0.25">
      <c r="G321"/>
      <c r="H321"/>
    </row>
    <row r="322" spans="7:8" ht="15.75" customHeight="1" x14ac:dyDescent="0.25">
      <c r="G322"/>
      <c r="H322"/>
    </row>
    <row r="323" spans="7:8" ht="15.75" customHeight="1" x14ac:dyDescent="0.25">
      <c r="G323"/>
      <c r="H323"/>
    </row>
    <row r="324" spans="7:8" ht="15.75" customHeight="1" x14ac:dyDescent="0.25">
      <c r="G324"/>
      <c r="H324"/>
    </row>
    <row r="325" spans="7:8" ht="15.75" customHeight="1" x14ac:dyDescent="0.25">
      <c r="G325"/>
      <c r="H325"/>
    </row>
    <row r="326" spans="7:8" ht="15.75" customHeight="1" x14ac:dyDescent="0.25">
      <c r="G326"/>
      <c r="H326"/>
    </row>
    <row r="327" spans="7:8" ht="15.75" customHeight="1" x14ac:dyDescent="0.25">
      <c r="G327"/>
      <c r="H327"/>
    </row>
    <row r="328" spans="7:8" ht="15.75" customHeight="1" x14ac:dyDescent="0.25">
      <c r="G328"/>
      <c r="H328"/>
    </row>
    <row r="329" spans="7:8" ht="15.75" customHeight="1" x14ac:dyDescent="0.25">
      <c r="G329"/>
      <c r="H329"/>
    </row>
    <row r="330" spans="7:8" ht="15.75" customHeight="1" x14ac:dyDescent="0.25">
      <c r="G330"/>
      <c r="H330"/>
    </row>
    <row r="331" spans="7:8" ht="15.75" customHeight="1" x14ac:dyDescent="0.25">
      <c r="G331"/>
      <c r="H331"/>
    </row>
    <row r="332" spans="7:8" ht="15.75" customHeight="1" x14ac:dyDescent="0.25">
      <c r="G332"/>
      <c r="H332"/>
    </row>
    <row r="333" spans="7:8" ht="15.75" customHeight="1" x14ac:dyDescent="0.25">
      <c r="G333"/>
      <c r="H333"/>
    </row>
    <row r="334" spans="7:8" ht="15.75" customHeight="1" x14ac:dyDescent="0.25">
      <c r="G334"/>
      <c r="H334"/>
    </row>
    <row r="335" spans="7:8" ht="15.75" customHeight="1" x14ac:dyDescent="0.25">
      <c r="G335"/>
      <c r="H335"/>
    </row>
    <row r="336" spans="7:8" ht="15.75" customHeight="1" x14ac:dyDescent="0.25">
      <c r="G336"/>
      <c r="H336"/>
    </row>
    <row r="337" spans="7:8" ht="15.75" customHeight="1" x14ac:dyDescent="0.25">
      <c r="G337"/>
      <c r="H337"/>
    </row>
    <row r="338" spans="7:8" ht="15.75" customHeight="1" x14ac:dyDescent="0.25">
      <c r="G338"/>
      <c r="H338"/>
    </row>
    <row r="339" spans="7:8" ht="15.75" customHeight="1" x14ac:dyDescent="0.25">
      <c r="G339"/>
      <c r="H339"/>
    </row>
    <row r="340" spans="7:8" ht="15.75" customHeight="1" x14ac:dyDescent="0.25">
      <c r="G340"/>
      <c r="H340"/>
    </row>
    <row r="341" spans="7:8" ht="15.75" customHeight="1" x14ac:dyDescent="0.25">
      <c r="G341"/>
      <c r="H341"/>
    </row>
    <row r="342" spans="7:8" ht="15.75" customHeight="1" x14ac:dyDescent="0.25">
      <c r="G342"/>
      <c r="H342"/>
    </row>
    <row r="343" spans="7:8" ht="15.75" customHeight="1" x14ac:dyDescent="0.25">
      <c r="G343"/>
      <c r="H343"/>
    </row>
    <row r="344" spans="7:8" ht="15.75" customHeight="1" x14ac:dyDescent="0.25">
      <c r="G344"/>
      <c r="H344"/>
    </row>
    <row r="345" spans="7:8" ht="15.75" customHeight="1" x14ac:dyDescent="0.25">
      <c r="G345"/>
      <c r="H345"/>
    </row>
    <row r="346" spans="7:8" ht="15.75" customHeight="1" x14ac:dyDescent="0.25">
      <c r="G346"/>
      <c r="H346"/>
    </row>
    <row r="347" spans="7:8" ht="15.75" customHeight="1" x14ac:dyDescent="0.25">
      <c r="G347"/>
      <c r="H347"/>
    </row>
    <row r="348" spans="7:8" ht="15.75" customHeight="1" x14ac:dyDescent="0.25">
      <c r="G348"/>
      <c r="H348"/>
    </row>
    <row r="349" spans="7:8" ht="15.75" customHeight="1" x14ac:dyDescent="0.25">
      <c r="G349"/>
      <c r="H349"/>
    </row>
    <row r="350" spans="7:8" ht="15.75" customHeight="1" x14ac:dyDescent="0.25">
      <c r="G350"/>
      <c r="H350"/>
    </row>
    <row r="351" spans="7:8" ht="15.75" customHeight="1" x14ac:dyDescent="0.25">
      <c r="G351"/>
      <c r="H351"/>
    </row>
    <row r="352" spans="7:8" ht="15.75" customHeight="1" x14ac:dyDescent="0.25">
      <c r="G352"/>
      <c r="H352"/>
    </row>
    <row r="353" spans="7:8" ht="15.75" customHeight="1" x14ac:dyDescent="0.25">
      <c r="G353"/>
      <c r="H353"/>
    </row>
    <row r="354" spans="7:8" ht="15.75" customHeight="1" x14ac:dyDescent="0.25">
      <c r="G354"/>
      <c r="H354"/>
    </row>
    <row r="355" spans="7:8" ht="15.75" customHeight="1" x14ac:dyDescent="0.25">
      <c r="G355"/>
      <c r="H355"/>
    </row>
    <row r="356" spans="7:8" ht="15.75" customHeight="1" x14ac:dyDescent="0.25">
      <c r="G356"/>
      <c r="H356"/>
    </row>
    <row r="357" spans="7:8" ht="15.75" customHeight="1" x14ac:dyDescent="0.25">
      <c r="G357"/>
      <c r="H357"/>
    </row>
    <row r="358" spans="7:8" ht="15.75" customHeight="1" x14ac:dyDescent="0.25">
      <c r="G358"/>
      <c r="H358"/>
    </row>
    <row r="359" spans="7:8" ht="15.75" customHeight="1" x14ac:dyDescent="0.25">
      <c r="G359"/>
      <c r="H359"/>
    </row>
    <row r="360" spans="7:8" ht="15.75" customHeight="1" x14ac:dyDescent="0.25">
      <c r="G360"/>
      <c r="H360"/>
    </row>
    <row r="361" spans="7:8" ht="15.75" customHeight="1" x14ac:dyDescent="0.25">
      <c r="G361"/>
      <c r="H361"/>
    </row>
    <row r="362" spans="7:8" ht="15.75" customHeight="1" x14ac:dyDescent="0.25">
      <c r="G362"/>
      <c r="H362"/>
    </row>
    <row r="363" spans="7:8" ht="15.75" customHeight="1" x14ac:dyDescent="0.25">
      <c r="G363"/>
      <c r="H363"/>
    </row>
    <row r="364" spans="7:8" ht="15.75" customHeight="1" x14ac:dyDescent="0.25">
      <c r="G364"/>
      <c r="H364"/>
    </row>
    <row r="365" spans="7:8" ht="15.75" customHeight="1" x14ac:dyDescent="0.25">
      <c r="G365"/>
      <c r="H365"/>
    </row>
    <row r="366" spans="7:8" ht="15.75" customHeight="1" x14ac:dyDescent="0.25">
      <c r="G366"/>
      <c r="H366"/>
    </row>
    <row r="367" spans="7:8" ht="15.75" customHeight="1" x14ac:dyDescent="0.25">
      <c r="G367"/>
      <c r="H367"/>
    </row>
    <row r="368" spans="7:8" ht="15.75" customHeight="1" x14ac:dyDescent="0.25">
      <c r="G368"/>
      <c r="H368"/>
    </row>
    <row r="369" spans="7:8" ht="15.75" customHeight="1" x14ac:dyDescent="0.25">
      <c r="G369"/>
      <c r="H369"/>
    </row>
    <row r="370" spans="7:8" ht="15.75" customHeight="1" x14ac:dyDescent="0.25">
      <c r="G370"/>
      <c r="H370"/>
    </row>
    <row r="371" spans="7:8" ht="15.75" customHeight="1" x14ac:dyDescent="0.25">
      <c r="G371"/>
      <c r="H371"/>
    </row>
    <row r="372" spans="7:8" ht="15.75" customHeight="1" x14ac:dyDescent="0.25">
      <c r="G372"/>
      <c r="H372"/>
    </row>
    <row r="373" spans="7:8" ht="15.75" customHeight="1" x14ac:dyDescent="0.25">
      <c r="G373"/>
      <c r="H373"/>
    </row>
    <row r="374" spans="7:8" ht="15.75" customHeight="1" x14ac:dyDescent="0.25">
      <c r="G374"/>
      <c r="H374"/>
    </row>
    <row r="375" spans="7:8" ht="15.75" customHeight="1" x14ac:dyDescent="0.25">
      <c r="G375"/>
      <c r="H375"/>
    </row>
    <row r="376" spans="7:8" ht="15.75" customHeight="1" x14ac:dyDescent="0.25">
      <c r="G376"/>
      <c r="H376"/>
    </row>
    <row r="377" spans="7:8" ht="15.75" customHeight="1" x14ac:dyDescent="0.25">
      <c r="G377"/>
      <c r="H377"/>
    </row>
    <row r="378" spans="7:8" ht="15.75" customHeight="1" x14ac:dyDescent="0.25">
      <c r="G378"/>
      <c r="H378"/>
    </row>
    <row r="379" spans="7:8" ht="15.75" customHeight="1" x14ac:dyDescent="0.25">
      <c r="G379"/>
      <c r="H379"/>
    </row>
    <row r="380" spans="7:8" ht="15.75" customHeight="1" x14ac:dyDescent="0.25">
      <c r="G380"/>
      <c r="H380"/>
    </row>
    <row r="381" spans="7:8" ht="15.75" customHeight="1" x14ac:dyDescent="0.25">
      <c r="G381"/>
      <c r="H381"/>
    </row>
    <row r="382" spans="7:8" ht="15.75" customHeight="1" x14ac:dyDescent="0.25">
      <c r="G382"/>
      <c r="H382"/>
    </row>
    <row r="383" spans="7:8" ht="15.75" customHeight="1" x14ac:dyDescent="0.25">
      <c r="G383"/>
      <c r="H383"/>
    </row>
    <row r="384" spans="7:8" ht="15.75" customHeight="1" x14ac:dyDescent="0.25">
      <c r="G384"/>
      <c r="H384"/>
    </row>
    <row r="385" spans="7:8" ht="15.75" customHeight="1" x14ac:dyDescent="0.25">
      <c r="G385"/>
      <c r="H385"/>
    </row>
    <row r="386" spans="7:8" ht="15.75" customHeight="1" x14ac:dyDescent="0.25">
      <c r="G386"/>
      <c r="H386"/>
    </row>
    <row r="387" spans="7:8" ht="15.75" customHeight="1" x14ac:dyDescent="0.25">
      <c r="G387"/>
      <c r="H387"/>
    </row>
    <row r="388" spans="7:8" ht="15.75" customHeight="1" x14ac:dyDescent="0.25">
      <c r="G388"/>
      <c r="H388"/>
    </row>
    <row r="389" spans="7:8" ht="15.75" customHeight="1" x14ac:dyDescent="0.25">
      <c r="G389"/>
      <c r="H389"/>
    </row>
    <row r="390" spans="7:8" ht="15.75" customHeight="1" x14ac:dyDescent="0.25">
      <c r="G390"/>
      <c r="H390"/>
    </row>
    <row r="391" spans="7:8" ht="15.75" customHeight="1" x14ac:dyDescent="0.25">
      <c r="G391"/>
      <c r="H391"/>
    </row>
    <row r="392" spans="7:8" ht="15.75" customHeight="1" x14ac:dyDescent="0.25">
      <c r="G392"/>
      <c r="H392"/>
    </row>
    <row r="393" spans="7:8" ht="15.75" customHeight="1" x14ac:dyDescent="0.25">
      <c r="G393"/>
      <c r="H393"/>
    </row>
    <row r="394" spans="7:8" ht="15.75" customHeight="1" x14ac:dyDescent="0.25">
      <c r="G394"/>
      <c r="H394"/>
    </row>
    <row r="395" spans="7:8" ht="15.75" customHeight="1" x14ac:dyDescent="0.25">
      <c r="G395"/>
      <c r="H395"/>
    </row>
    <row r="396" spans="7:8" ht="15.75" customHeight="1" x14ac:dyDescent="0.25">
      <c r="G396"/>
      <c r="H396"/>
    </row>
    <row r="397" spans="7:8" ht="15.75" customHeight="1" x14ac:dyDescent="0.25">
      <c r="G397"/>
      <c r="H397"/>
    </row>
    <row r="398" spans="7:8" ht="15.75" customHeight="1" x14ac:dyDescent="0.25">
      <c r="G398"/>
      <c r="H398"/>
    </row>
    <row r="399" spans="7:8" ht="15.75" customHeight="1" x14ac:dyDescent="0.25">
      <c r="G399"/>
      <c r="H399"/>
    </row>
    <row r="400" spans="7:8" ht="15.75" customHeight="1" x14ac:dyDescent="0.25">
      <c r="G400"/>
      <c r="H400"/>
    </row>
    <row r="401" spans="7:8" ht="15.75" customHeight="1" x14ac:dyDescent="0.25">
      <c r="G401"/>
      <c r="H401"/>
    </row>
    <row r="402" spans="7:8" ht="15.75" customHeight="1" x14ac:dyDescent="0.25">
      <c r="G402"/>
      <c r="H402"/>
    </row>
    <row r="403" spans="7:8" ht="15.75" customHeight="1" x14ac:dyDescent="0.25">
      <c r="G403"/>
      <c r="H403"/>
    </row>
    <row r="404" spans="7:8" ht="15.75" customHeight="1" x14ac:dyDescent="0.25">
      <c r="G404"/>
      <c r="H404"/>
    </row>
    <row r="405" spans="7:8" ht="15.75" customHeight="1" x14ac:dyDescent="0.25">
      <c r="G405"/>
      <c r="H405"/>
    </row>
    <row r="406" spans="7:8" ht="15.75" customHeight="1" x14ac:dyDescent="0.25">
      <c r="G406"/>
      <c r="H406"/>
    </row>
    <row r="407" spans="7:8" ht="15.75" customHeight="1" x14ac:dyDescent="0.25">
      <c r="G407"/>
      <c r="H407"/>
    </row>
    <row r="408" spans="7:8" ht="15.75" customHeight="1" x14ac:dyDescent="0.25">
      <c r="G408"/>
      <c r="H408"/>
    </row>
    <row r="409" spans="7:8" ht="15.75" customHeight="1" x14ac:dyDescent="0.25">
      <c r="G409"/>
      <c r="H409"/>
    </row>
    <row r="410" spans="7:8" ht="15.75" customHeight="1" x14ac:dyDescent="0.25">
      <c r="G410"/>
      <c r="H410"/>
    </row>
    <row r="411" spans="7:8" ht="15.75" customHeight="1" x14ac:dyDescent="0.25">
      <c r="G411"/>
      <c r="H411"/>
    </row>
    <row r="412" spans="7:8" ht="15.75" customHeight="1" x14ac:dyDescent="0.25">
      <c r="G412"/>
      <c r="H412"/>
    </row>
    <row r="413" spans="7:8" ht="15.75" customHeight="1" x14ac:dyDescent="0.25">
      <c r="G413"/>
      <c r="H413"/>
    </row>
    <row r="414" spans="7:8" ht="15.75" customHeight="1" x14ac:dyDescent="0.25">
      <c r="G414"/>
      <c r="H414"/>
    </row>
    <row r="415" spans="7:8" ht="15.75" customHeight="1" x14ac:dyDescent="0.25">
      <c r="G415"/>
      <c r="H415"/>
    </row>
    <row r="416" spans="7:8" ht="15.75" customHeight="1" x14ac:dyDescent="0.25">
      <c r="G416"/>
      <c r="H416"/>
    </row>
    <row r="417" spans="7:8" ht="15.75" customHeight="1" x14ac:dyDescent="0.25">
      <c r="G417"/>
      <c r="H417"/>
    </row>
    <row r="418" spans="7:8" ht="15.75" customHeight="1" x14ac:dyDescent="0.25">
      <c r="G418"/>
      <c r="H418"/>
    </row>
    <row r="419" spans="7:8" ht="15.75" customHeight="1" x14ac:dyDescent="0.25">
      <c r="G419"/>
      <c r="H419"/>
    </row>
    <row r="420" spans="7:8" ht="15.75" customHeight="1" x14ac:dyDescent="0.25">
      <c r="G420"/>
      <c r="H420"/>
    </row>
    <row r="421" spans="7:8" ht="15.75" customHeight="1" x14ac:dyDescent="0.25">
      <c r="G421"/>
      <c r="H421"/>
    </row>
    <row r="422" spans="7:8" ht="15.75" customHeight="1" x14ac:dyDescent="0.25">
      <c r="G422"/>
      <c r="H422"/>
    </row>
    <row r="423" spans="7:8" ht="15.75" customHeight="1" x14ac:dyDescent="0.25">
      <c r="G423"/>
      <c r="H423"/>
    </row>
    <row r="424" spans="7:8" ht="15.75" customHeight="1" x14ac:dyDescent="0.25">
      <c r="G424"/>
      <c r="H424"/>
    </row>
    <row r="425" spans="7:8" ht="15.75" customHeight="1" x14ac:dyDescent="0.25">
      <c r="G425"/>
      <c r="H425"/>
    </row>
    <row r="426" spans="7:8" ht="15.75" customHeight="1" x14ac:dyDescent="0.25">
      <c r="G426"/>
      <c r="H426"/>
    </row>
    <row r="427" spans="7:8" ht="15.75" customHeight="1" x14ac:dyDescent="0.25">
      <c r="G427"/>
      <c r="H427"/>
    </row>
    <row r="428" spans="7:8" ht="15.75" customHeight="1" x14ac:dyDescent="0.25">
      <c r="G428"/>
      <c r="H428"/>
    </row>
    <row r="429" spans="7:8" ht="15.75" customHeight="1" x14ac:dyDescent="0.25">
      <c r="G429"/>
      <c r="H429"/>
    </row>
    <row r="430" spans="7:8" ht="15.75" customHeight="1" x14ac:dyDescent="0.25">
      <c r="G430"/>
      <c r="H430"/>
    </row>
    <row r="431" spans="7:8" ht="15.75" customHeight="1" x14ac:dyDescent="0.25">
      <c r="G431"/>
      <c r="H431"/>
    </row>
    <row r="432" spans="7:8" ht="15.75" customHeight="1" x14ac:dyDescent="0.25">
      <c r="G432"/>
      <c r="H432"/>
    </row>
    <row r="433" spans="7:8" ht="15.75" customHeight="1" x14ac:dyDescent="0.25">
      <c r="G433"/>
      <c r="H433"/>
    </row>
    <row r="434" spans="7:8" ht="15.75" customHeight="1" x14ac:dyDescent="0.25">
      <c r="G434"/>
      <c r="H434"/>
    </row>
    <row r="435" spans="7:8" ht="15.75" customHeight="1" x14ac:dyDescent="0.25">
      <c r="G435"/>
      <c r="H435"/>
    </row>
    <row r="436" spans="7:8" ht="15.75" customHeight="1" x14ac:dyDescent="0.25">
      <c r="G436"/>
      <c r="H436"/>
    </row>
    <row r="437" spans="7:8" ht="15.75" customHeight="1" x14ac:dyDescent="0.25">
      <c r="G437"/>
      <c r="H437"/>
    </row>
    <row r="438" spans="7:8" ht="15.75" customHeight="1" x14ac:dyDescent="0.25">
      <c r="G438"/>
      <c r="H438"/>
    </row>
    <row r="439" spans="7:8" ht="15.75" customHeight="1" x14ac:dyDescent="0.25">
      <c r="G439"/>
      <c r="H439"/>
    </row>
    <row r="440" spans="7:8" ht="15.75" customHeight="1" x14ac:dyDescent="0.25">
      <c r="G440"/>
      <c r="H440"/>
    </row>
    <row r="441" spans="7:8" ht="15.75" customHeight="1" x14ac:dyDescent="0.25">
      <c r="G441"/>
      <c r="H441"/>
    </row>
    <row r="442" spans="7:8" ht="15.75" customHeight="1" x14ac:dyDescent="0.25">
      <c r="G442"/>
      <c r="H442"/>
    </row>
    <row r="443" spans="7:8" ht="15.75" customHeight="1" x14ac:dyDescent="0.25">
      <c r="G443"/>
      <c r="H443"/>
    </row>
    <row r="444" spans="7:8" ht="15.75" customHeight="1" x14ac:dyDescent="0.25">
      <c r="G444"/>
      <c r="H444"/>
    </row>
    <row r="445" spans="7:8" ht="15.75" customHeight="1" x14ac:dyDescent="0.25">
      <c r="G445"/>
      <c r="H445"/>
    </row>
    <row r="446" spans="7:8" ht="15.75" customHeight="1" x14ac:dyDescent="0.25">
      <c r="G446"/>
      <c r="H446"/>
    </row>
    <row r="447" spans="7:8" ht="15.75" customHeight="1" x14ac:dyDescent="0.25">
      <c r="G447"/>
      <c r="H447"/>
    </row>
    <row r="448" spans="7:8" ht="15.75" customHeight="1" x14ac:dyDescent="0.25">
      <c r="G448"/>
      <c r="H448"/>
    </row>
    <row r="449" spans="7:8" ht="15.75" customHeight="1" x14ac:dyDescent="0.25">
      <c r="G449"/>
      <c r="H449"/>
    </row>
    <row r="450" spans="7:8" ht="15.75" customHeight="1" x14ac:dyDescent="0.25">
      <c r="G450"/>
      <c r="H450"/>
    </row>
    <row r="451" spans="7:8" ht="15.75" customHeight="1" x14ac:dyDescent="0.25">
      <c r="G451"/>
      <c r="H451"/>
    </row>
    <row r="452" spans="7:8" ht="15.75" customHeight="1" x14ac:dyDescent="0.25">
      <c r="G452"/>
      <c r="H452"/>
    </row>
    <row r="453" spans="7:8" ht="15.75" customHeight="1" x14ac:dyDescent="0.25">
      <c r="G453"/>
      <c r="H453"/>
    </row>
    <row r="454" spans="7:8" ht="15.75" customHeight="1" x14ac:dyDescent="0.25">
      <c r="G454"/>
      <c r="H454"/>
    </row>
    <row r="455" spans="7:8" ht="15.75" customHeight="1" x14ac:dyDescent="0.25">
      <c r="G455"/>
      <c r="H455"/>
    </row>
    <row r="456" spans="7:8" ht="15.75" customHeight="1" x14ac:dyDescent="0.25">
      <c r="G456"/>
      <c r="H456"/>
    </row>
    <row r="457" spans="7:8" ht="15.75" customHeight="1" x14ac:dyDescent="0.25">
      <c r="G457"/>
      <c r="H457"/>
    </row>
    <row r="458" spans="7:8" ht="15.75" customHeight="1" x14ac:dyDescent="0.25">
      <c r="G458"/>
      <c r="H458"/>
    </row>
    <row r="459" spans="7:8" ht="15.75" customHeight="1" x14ac:dyDescent="0.25">
      <c r="G459"/>
      <c r="H459"/>
    </row>
    <row r="460" spans="7:8" ht="15.75" customHeight="1" x14ac:dyDescent="0.25">
      <c r="G460"/>
      <c r="H460"/>
    </row>
    <row r="461" spans="7:8" ht="15.75" customHeight="1" x14ac:dyDescent="0.25">
      <c r="G461"/>
      <c r="H461"/>
    </row>
    <row r="462" spans="7:8" ht="15.75" customHeight="1" x14ac:dyDescent="0.25">
      <c r="G462"/>
      <c r="H462"/>
    </row>
    <row r="463" spans="7:8" ht="15.75" customHeight="1" x14ac:dyDescent="0.25">
      <c r="G463"/>
      <c r="H463"/>
    </row>
    <row r="464" spans="7:8" ht="15.75" customHeight="1" x14ac:dyDescent="0.25">
      <c r="G464"/>
      <c r="H464"/>
    </row>
    <row r="465" spans="7:8" ht="15.75" customHeight="1" x14ac:dyDescent="0.25">
      <c r="G465"/>
      <c r="H465"/>
    </row>
    <row r="466" spans="7:8" ht="15.75" customHeight="1" x14ac:dyDescent="0.25">
      <c r="G466"/>
      <c r="H466"/>
    </row>
    <row r="467" spans="7:8" ht="15.75" customHeight="1" x14ac:dyDescent="0.25">
      <c r="G467"/>
      <c r="H467"/>
    </row>
    <row r="468" spans="7:8" ht="15.75" customHeight="1" x14ac:dyDescent="0.25">
      <c r="G468"/>
      <c r="H468"/>
    </row>
    <row r="469" spans="7:8" ht="15.75" customHeight="1" x14ac:dyDescent="0.25">
      <c r="G469"/>
      <c r="H469"/>
    </row>
    <row r="470" spans="7:8" ht="15.75" customHeight="1" x14ac:dyDescent="0.25">
      <c r="G470"/>
      <c r="H470"/>
    </row>
    <row r="471" spans="7:8" ht="15.75" customHeight="1" x14ac:dyDescent="0.25">
      <c r="G471"/>
      <c r="H471"/>
    </row>
    <row r="472" spans="7:8" ht="15.75" customHeight="1" x14ac:dyDescent="0.25">
      <c r="G472"/>
      <c r="H472"/>
    </row>
    <row r="473" spans="7:8" ht="15.75" customHeight="1" x14ac:dyDescent="0.25">
      <c r="G473"/>
      <c r="H473"/>
    </row>
    <row r="474" spans="7:8" ht="15.75" customHeight="1" x14ac:dyDescent="0.25">
      <c r="G474"/>
      <c r="H474"/>
    </row>
    <row r="475" spans="7:8" ht="15.75" customHeight="1" x14ac:dyDescent="0.25">
      <c r="G475"/>
      <c r="H475"/>
    </row>
    <row r="476" spans="7:8" ht="15.75" customHeight="1" x14ac:dyDescent="0.25">
      <c r="G476"/>
      <c r="H476"/>
    </row>
    <row r="477" spans="7:8" ht="15.75" customHeight="1" x14ac:dyDescent="0.25">
      <c r="G477"/>
      <c r="H477"/>
    </row>
    <row r="478" spans="7:8" ht="15.75" customHeight="1" x14ac:dyDescent="0.25">
      <c r="G478"/>
      <c r="H478"/>
    </row>
    <row r="479" spans="7:8" ht="15.75" customHeight="1" x14ac:dyDescent="0.25">
      <c r="G479"/>
      <c r="H479"/>
    </row>
    <row r="480" spans="7:8" ht="15.75" customHeight="1" x14ac:dyDescent="0.25">
      <c r="G480"/>
      <c r="H480"/>
    </row>
    <row r="481" spans="7:8" ht="15.75" customHeight="1" x14ac:dyDescent="0.25">
      <c r="G481"/>
      <c r="H481"/>
    </row>
    <row r="482" spans="7:8" ht="15.75" customHeight="1" x14ac:dyDescent="0.25">
      <c r="G482"/>
      <c r="H482"/>
    </row>
    <row r="483" spans="7:8" ht="15.75" customHeight="1" x14ac:dyDescent="0.25">
      <c r="G483"/>
      <c r="H483"/>
    </row>
    <row r="484" spans="7:8" ht="15.75" customHeight="1" x14ac:dyDescent="0.25">
      <c r="G484"/>
      <c r="H484"/>
    </row>
    <row r="485" spans="7:8" ht="15.75" customHeight="1" x14ac:dyDescent="0.25">
      <c r="G485"/>
      <c r="H485"/>
    </row>
    <row r="486" spans="7:8" ht="15.75" customHeight="1" x14ac:dyDescent="0.25">
      <c r="G486"/>
      <c r="H486"/>
    </row>
    <row r="487" spans="7:8" ht="15.75" customHeight="1" x14ac:dyDescent="0.25">
      <c r="G487"/>
      <c r="H487"/>
    </row>
    <row r="488" spans="7:8" ht="15.75" customHeight="1" x14ac:dyDescent="0.25">
      <c r="G488"/>
      <c r="H488"/>
    </row>
    <row r="489" spans="7:8" ht="15.75" customHeight="1" x14ac:dyDescent="0.25">
      <c r="G489"/>
      <c r="H489"/>
    </row>
    <row r="490" spans="7:8" ht="15.75" customHeight="1" x14ac:dyDescent="0.25">
      <c r="G490"/>
      <c r="H490"/>
    </row>
    <row r="491" spans="7:8" ht="15.75" customHeight="1" x14ac:dyDescent="0.25">
      <c r="G491"/>
      <c r="H491"/>
    </row>
    <row r="492" spans="7:8" ht="15.75" customHeight="1" x14ac:dyDescent="0.25">
      <c r="G492"/>
      <c r="H492"/>
    </row>
    <row r="493" spans="7:8" ht="15.75" customHeight="1" x14ac:dyDescent="0.25">
      <c r="G493"/>
      <c r="H493"/>
    </row>
    <row r="494" spans="7:8" ht="15.75" customHeight="1" x14ac:dyDescent="0.25">
      <c r="G494"/>
      <c r="H494"/>
    </row>
    <row r="495" spans="7:8" ht="15.75" customHeight="1" x14ac:dyDescent="0.25">
      <c r="G495"/>
      <c r="H495"/>
    </row>
    <row r="496" spans="7:8" ht="15.75" customHeight="1" x14ac:dyDescent="0.25">
      <c r="G496"/>
      <c r="H496"/>
    </row>
    <row r="497" spans="7:8" ht="15.75" customHeight="1" x14ac:dyDescent="0.25">
      <c r="G497"/>
      <c r="H497"/>
    </row>
    <row r="498" spans="7:8" ht="15.75" customHeight="1" x14ac:dyDescent="0.25">
      <c r="G498"/>
      <c r="H498"/>
    </row>
    <row r="499" spans="7:8" ht="15.75" customHeight="1" x14ac:dyDescent="0.25">
      <c r="G499"/>
      <c r="H499"/>
    </row>
    <row r="500" spans="7:8" ht="15.75" customHeight="1" x14ac:dyDescent="0.25">
      <c r="G500"/>
      <c r="H500"/>
    </row>
    <row r="501" spans="7:8" ht="15.75" customHeight="1" x14ac:dyDescent="0.25">
      <c r="G501"/>
      <c r="H501"/>
    </row>
    <row r="502" spans="7:8" ht="15.75" customHeight="1" x14ac:dyDescent="0.25">
      <c r="G502"/>
      <c r="H502"/>
    </row>
    <row r="503" spans="7:8" ht="15.75" customHeight="1" x14ac:dyDescent="0.25">
      <c r="G503"/>
      <c r="H503"/>
    </row>
    <row r="504" spans="7:8" ht="15.75" customHeight="1" x14ac:dyDescent="0.25">
      <c r="G504"/>
      <c r="H504"/>
    </row>
    <row r="505" spans="7:8" ht="15.75" customHeight="1" x14ac:dyDescent="0.25">
      <c r="G505"/>
      <c r="H505"/>
    </row>
    <row r="506" spans="7:8" ht="15.75" customHeight="1" x14ac:dyDescent="0.25">
      <c r="G506"/>
      <c r="H506"/>
    </row>
    <row r="507" spans="7:8" ht="15.75" customHeight="1" x14ac:dyDescent="0.25">
      <c r="G507"/>
      <c r="H507"/>
    </row>
    <row r="508" spans="7:8" ht="15.75" customHeight="1" x14ac:dyDescent="0.25">
      <c r="G508"/>
      <c r="H508"/>
    </row>
    <row r="509" spans="7:8" ht="15.75" customHeight="1" x14ac:dyDescent="0.25">
      <c r="G509"/>
      <c r="H509"/>
    </row>
    <row r="510" spans="7:8" ht="15.75" customHeight="1" x14ac:dyDescent="0.25">
      <c r="G510"/>
      <c r="H510"/>
    </row>
    <row r="511" spans="7:8" ht="15.75" customHeight="1" x14ac:dyDescent="0.25">
      <c r="G511"/>
      <c r="H511"/>
    </row>
    <row r="512" spans="7:8" ht="15.75" customHeight="1" x14ac:dyDescent="0.25">
      <c r="G512"/>
      <c r="H512"/>
    </row>
    <row r="513" spans="7:8" ht="15.75" customHeight="1" x14ac:dyDescent="0.25">
      <c r="G513"/>
      <c r="H513"/>
    </row>
    <row r="514" spans="7:8" ht="15.75" customHeight="1" x14ac:dyDescent="0.25">
      <c r="G514"/>
      <c r="H514"/>
    </row>
    <row r="515" spans="7:8" ht="15.75" customHeight="1" x14ac:dyDescent="0.25">
      <c r="G515"/>
      <c r="H515"/>
    </row>
    <row r="516" spans="7:8" ht="15.75" customHeight="1" x14ac:dyDescent="0.25">
      <c r="G516"/>
      <c r="H516"/>
    </row>
    <row r="517" spans="7:8" ht="15.75" customHeight="1" x14ac:dyDescent="0.25">
      <c r="G517"/>
      <c r="H517"/>
    </row>
    <row r="518" spans="7:8" ht="15.75" customHeight="1" x14ac:dyDescent="0.25">
      <c r="G518"/>
      <c r="H518"/>
    </row>
    <row r="519" spans="7:8" ht="15.75" customHeight="1" x14ac:dyDescent="0.25">
      <c r="G519"/>
      <c r="H519"/>
    </row>
    <row r="520" spans="7:8" ht="15.75" customHeight="1" x14ac:dyDescent="0.25">
      <c r="G520"/>
      <c r="H520"/>
    </row>
    <row r="521" spans="7:8" ht="15.75" customHeight="1" x14ac:dyDescent="0.25">
      <c r="G521"/>
      <c r="H521"/>
    </row>
    <row r="522" spans="7:8" ht="15.75" customHeight="1" x14ac:dyDescent="0.25">
      <c r="G522"/>
      <c r="H522"/>
    </row>
    <row r="523" spans="7:8" ht="15.75" customHeight="1" x14ac:dyDescent="0.25">
      <c r="G523"/>
      <c r="H523"/>
    </row>
    <row r="524" spans="7:8" ht="15.75" customHeight="1" x14ac:dyDescent="0.25">
      <c r="G524"/>
      <c r="H524"/>
    </row>
    <row r="525" spans="7:8" ht="15.75" customHeight="1" x14ac:dyDescent="0.25">
      <c r="G525"/>
      <c r="H525"/>
    </row>
    <row r="526" spans="7:8" ht="15.75" customHeight="1" x14ac:dyDescent="0.25">
      <c r="G526"/>
      <c r="H526"/>
    </row>
    <row r="527" spans="7:8" ht="15.75" customHeight="1" x14ac:dyDescent="0.25">
      <c r="G527"/>
      <c r="H527"/>
    </row>
    <row r="528" spans="7:8" ht="15.75" customHeight="1" x14ac:dyDescent="0.25">
      <c r="G528"/>
      <c r="H528"/>
    </row>
    <row r="529" spans="7:8" ht="15.75" customHeight="1" x14ac:dyDescent="0.25">
      <c r="G529"/>
      <c r="H529"/>
    </row>
    <row r="530" spans="7:8" ht="15.75" customHeight="1" x14ac:dyDescent="0.25">
      <c r="G530"/>
      <c r="H530"/>
    </row>
    <row r="531" spans="7:8" ht="15.75" customHeight="1" x14ac:dyDescent="0.25">
      <c r="G531"/>
      <c r="H531"/>
    </row>
    <row r="532" spans="7:8" ht="15.75" customHeight="1" x14ac:dyDescent="0.25">
      <c r="G532"/>
      <c r="H532"/>
    </row>
    <row r="533" spans="7:8" ht="15.75" customHeight="1" x14ac:dyDescent="0.25">
      <c r="G533"/>
      <c r="H533"/>
    </row>
    <row r="534" spans="7:8" ht="15.75" customHeight="1" x14ac:dyDescent="0.25">
      <c r="G534"/>
      <c r="H534"/>
    </row>
    <row r="535" spans="7:8" ht="15.75" customHeight="1" x14ac:dyDescent="0.25">
      <c r="G535"/>
      <c r="H535"/>
    </row>
    <row r="536" spans="7:8" ht="15.75" customHeight="1" x14ac:dyDescent="0.25">
      <c r="G536"/>
      <c r="H536"/>
    </row>
    <row r="537" spans="7:8" ht="15.75" customHeight="1" x14ac:dyDescent="0.25">
      <c r="G537"/>
      <c r="H537"/>
    </row>
    <row r="538" spans="7:8" ht="15.75" customHeight="1" x14ac:dyDescent="0.25">
      <c r="G538"/>
      <c r="H538"/>
    </row>
    <row r="539" spans="7:8" ht="15.75" customHeight="1" x14ac:dyDescent="0.25">
      <c r="G539"/>
      <c r="H539"/>
    </row>
    <row r="540" spans="7:8" ht="15.75" customHeight="1" x14ac:dyDescent="0.25">
      <c r="G540"/>
      <c r="H540"/>
    </row>
    <row r="541" spans="7:8" ht="15.75" customHeight="1" x14ac:dyDescent="0.25">
      <c r="G541"/>
      <c r="H541"/>
    </row>
    <row r="542" spans="7:8" ht="15.75" customHeight="1" x14ac:dyDescent="0.25">
      <c r="G542"/>
      <c r="H542"/>
    </row>
    <row r="543" spans="7:8" ht="15.75" customHeight="1" x14ac:dyDescent="0.25">
      <c r="G543"/>
      <c r="H543"/>
    </row>
    <row r="544" spans="7:8" ht="15.75" customHeight="1" x14ac:dyDescent="0.25">
      <c r="G544"/>
      <c r="H544"/>
    </row>
    <row r="545" spans="7:8" ht="15.75" customHeight="1" x14ac:dyDescent="0.25">
      <c r="G545"/>
      <c r="H545"/>
    </row>
    <row r="546" spans="7:8" ht="15.75" customHeight="1" x14ac:dyDescent="0.25">
      <c r="G546"/>
      <c r="H546"/>
    </row>
    <row r="547" spans="7:8" ht="15.75" customHeight="1" x14ac:dyDescent="0.25">
      <c r="G547"/>
      <c r="H547"/>
    </row>
    <row r="548" spans="7:8" ht="15.75" customHeight="1" x14ac:dyDescent="0.25">
      <c r="G548"/>
      <c r="H548"/>
    </row>
    <row r="549" spans="7:8" ht="15.75" customHeight="1" x14ac:dyDescent="0.25">
      <c r="G549"/>
      <c r="H549"/>
    </row>
    <row r="550" spans="7:8" ht="15.75" customHeight="1" x14ac:dyDescent="0.25">
      <c r="G550"/>
      <c r="H550"/>
    </row>
    <row r="551" spans="7:8" ht="15.75" customHeight="1" x14ac:dyDescent="0.25">
      <c r="G551"/>
      <c r="H551"/>
    </row>
    <row r="552" spans="7:8" ht="15.75" customHeight="1" x14ac:dyDescent="0.25">
      <c r="G552"/>
      <c r="H552"/>
    </row>
    <row r="553" spans="7:8" ht="15.75" customHeight="1" x14ac:dyDescent="0.25">
      <c r="G553"/>
      <c r="H553"/>
    </row>
    <row r="554" spans="7:8" ht="15.75" customHeight="1" x14ac:dyDescent="0.25">
      <c r="G554"/>
      <c r="H554"/>
    </row>
    <row r="555" spans="7:8" ht="15.75" customHeight="1" x14ac:dyDescent="0.25">
      <c r="G555"/>
      <c r="H555"/>
    </row>
    <row r="556" spans="7:8" ht="15.75" customHeight="1" x14ac:dyDescent="0.25">
      <c r="G556"/>
      <c r="H556"/>
    </row>
    <row r="557" spans="7:8" ht="15.75" customHeight="1" x14ac:dyDescent="0.25">
      <c r="G557"/>
      <c r="H557"/>
    </row>
    <row r="558" spans="7:8" ht="15.75" customHeight="1" x14ac:dyDescent="0.25">
      <c r="G558"/>
      <c r="H558"/>
    </row>
    <row r="559" spans="7:8" ht="15.75" customHeight="1" x14ac:dyDescent="0.25">
      <c r="G559"/>
      <c r="H559"/>
    </row>
    <row r="560" spans="7:8" ht="15.75" customHeight="1" x14ac:dyDescent="0.25">
      <c r="G560"/>
      <c r="H560"/>
    </row>
    <row r="561" spans="7:8" ht="15.75" customHeight="1" x14ac:dyDescent="0.25">
      <c r="G561"/>
      <c r="H561"/>
    </row>
    <row r="562" spans="7:8" ht="15.75" customHeight="1" x14ac:dyDescent="0.25">
      <c r="G562"/>
      <c r="H562"/>
    </row>
    <row r="563" spans="7:8" ht="15.75" customHeight="1" x14ac:dyDescent="0.25">
      <c r="G563"/>
      <c r="H563"/>
    </row>
    <row r="564" spans="7:8" ht="15.75" customHeight="1" x14ac:dyDescent="0.25">
      <c r="G564"/>
      <c r="H564"/>
    </row>
    <row r="565" spans="7:8" ht="15.75" customHeight="1" x14ac:dyDescent="0.25">
      <c r="G565"/>
      <c r="H565"/>
    </row>
    <row r="566" spans="7:8" ht="15.75" customHeight="1" x14ac:dyDescent="0.25">
      <c r="G566"/>
      <c r="H566"/>
    </row>
    <row r="567" spans="7:8" ht="15.75" customHeight="1" x14ac:dyDescent="0.25">
      <c r="G567"/>
      <c r="H567"/>
    </row>
    <row r="568" spans="7:8" ht="15.75" customHeight="1" x14ac:dyDescent="0.25">
      <c r="G568"/>
      <c r="H568"/>
    </row>
    <row r="569" spans="7:8" ht="15.75" customHeight="1" x14ac:dyDescent="0.25">
      <c r="G569"/>
      <c r="H569"/>
    </row>
    <row r="570" spans="7:8" ht="15.75" customHeight="1" x14ac:dyDescent="0.25">
      <c r="G570"/>
      <c r="H570"/>
    </row>
    <row r="571" spans="7:8" ht="15.75" customHeight="1" x14ac:dyDescent="0.25">
      <c r="G571"/>
      <c r="H571"/>
    </row>
    <row r="572" spans="7:8" ht="15.75" customHeight="1" x14ac:dyDescent="0.25">
      <c r="G572"/>
      <c r="H572"/>
    </row>
    <row r="573" spans="7:8" ht="15.75" customHeight="1" x14ac:dyDescent="0.25">
      <c r="G573"/>
      <c r="H573"/>
    </row>
    <row r="574" spans="7:8" ht="15.75" customHeight="1" x14ac:dyDescent="0.25">
      <c r="G574"/>
      <c r="H574"/>
    </row>
    <row r="575" spans="7:8" ht="15.75" customHeight="1" x14ac:dyDescent="0.25">
      <c r="G575"/>
      <c r="H575"/>
    </row>
    <row r="576" spans="7:8" ht="15.75" customHeight="1" x14ac:dyDescent="0.25">
      <c r="G576"/>
      <c r="H576"/>
    </row>
    <row r="577" spans="7:8" ht="15.75" customHeight="1" x14ac:dyDescent="0.25">
      <c r="G577"/>
      <c r="H577"/>
    </row>
    <row r="578" spans="7:8" ht="15.75" customHeight="1" x14ac:dyDescent="0.25">
      <c r="G578"/>
      <c r="H578"/>
    </row>
    <row r="579" spans="7:8" ht="15.75" customHeight="1" x14ac:dyDescent="0.25">
      <c r="G579"/>
      <c r="H579"/>
    </row>
    <row r="580" spans="7:8" ht="15.75" customHeight="1" x14ac:dyDescent="0.25">
      <c r="G580"/>
      <c r="H580"/>
    </row>
    <row r="581" spans="7:8" ht="15.75" customHeight="1" x14ac:dyDescent="0.25">
      <c r="G581"/>
      <c r="H581"/>
    </row>
    <row r="582" spans="7:8" ht="15.75" customHeight="1" x14ac:dyDescent="0.25">
      <c r="G582"/>
      <c r="H582"/>
    </row>
    <row r="583" spans="7:8" ht="15.75" customHeight="1" x14ac:dyDescent="0.25">
      <c r="G583"/>
      <c r="H583"/>
    </row>
    <row r="584" spans="7:8" ht="15.75" customHeight="1" x14ac:dyDescent="0.25">
      <c r="G584"/>
      <c r="H584"/>
    </row>
    <row r="585" spans="7:8" ht="15.75" customHeight="1" x14ac:dyDescent="0.25">
      <c r="G585"/>
      <c r="H585"/>
    </row>
    <row r="586" spans="7:8" ht="15.75" customHeight="1" x14ac:dyDescent="0.25">
      <c r="G586"/>
      <c r="H586"/>
    </row>
    <row r="587" spans="7:8" ht="15.75" customHeight="1" x14ac:dyDescent="0.25">
      <c r="G587"/>
      <c r="H587"/>
    </row>
    <row r="588" spans="7:8" ht="15.75" customHeight="1" x14ac:dyDescent="0.25">
      <c r="G588"/>
      <c r="H588"/>
    </row>
    <row r="589" spans="7:8" ht="15.75" customHeight="1" x14ac:dyDescent="0.25">
      <c r="G589"/>
      <c r="H589"/>
    </row>
    <row r="590" spans="7:8" ht="15.75" customHeight="1" x14ac:dyDescent="0.25">
      <c r="G590"/>
      <c r="H590"/>
    </row>
    <row r="591" spans="7:8" ht="15.75" customHeight="1" x14ac:dyDescent="0.25">
      <c r="G591"/>
      <c r="H591"/>
    </row>
    <row r="592" spans="7:8" ht="15.75" customHeight="1" x14ac:dyDescent="0.25">
      <c r="G592"/>
      <c r="H592"/>
    </row>
    <row r="593" spans="7:8" ht="15.75" customHeight="1" x14ac:dyDescent="0.25">
      <c r="G593"/>
      <c r="H593"/>
    </row>
    <row r="594" spans="7:8" ht="15.75" customHeight="1" x14ac:dyDescent="0.25">
      <c r="G594"/>
      <c r="H594"/>
    </row>
    <row r="595" spans="7:8" ht="15.75" customHeight="1" x14ac:dyDescent="0.25">
      <c r="G595"/>
      <c r="H595"/>
    </row>
    <row r="596" spans="7:8" ht="15.75" customHeight="1" x14ac:dyDescent="0.25">
      <c r="G596"/>
      <c r="H596"/>
    </row>
    <row r="597" spans="7:8" ht="15.75" customHeight="1" x14ac:dyDescent="0.25">
      <c r="G597"/>
      <c r="H597"/>
    </row>
    <row r="598" spans="7:8" ht="15.75" customHeight="1" x14ac:dyDescent="0.25">
      <c r="G598"/>
      <c r="H598"/>
    </row>
    <row r="599" spans="7:8" ht="15.75" customHeight="1" x14ac:dyDescent="0.25">
      <c r="G599"/>
      <c r="H599"/>
    </row>
    <row r="600" spans="7:8" ht="15.75" customHeight="1" x14ac:dyDescent="0.25">
      <c r="G600"/>
      <c r="H600"/>
    </row>
    <row r="601" spans="7:8" ht="15.75" customHeight="1" x14ac:dyDescent="0.25">
      <c r="G601"/>
      <c r="H601"/>
    </row>
    <row r="602" spans="7:8" ht="15.75" customHeight="1" x14ac:dyDescent="0.25">
      <c r="G602"/>
      <c r="H602"/>
    </row>
    <row r="603" spans="7:8" ht="15.75" customHeight="1" x14ac:dyDescent="0.25">
      <c r="G603"/>
      <c r="H603"/>
    </row>
    <row r="604" spans="7:8" ht="15.75" customHeight="1" x14ac:dyDescent="0.25">
      <c r="G604"/>
      <c r="H604"/>
    </row>
    <row r="605" spans="7:8" ht="15.75" customHeight="1" x14ac:dyDescent="0.25">
      <c r="G605"/>
      <c r="H605"/>
    </row>
    <row r="606" spans="7:8" ht="15.75" customHeight="1" x14ac:dyDescent="0.25">
      <c r="G606"/>
      <c r="H606"/>
    </row>
    <row r="607" spans="7:8" ht="15.75" customHeight="1" x14ac:dyDescent="0.25">
      <c r="G607"/>
      <c r="H607"/>
    </row>
    <row r="608" spans="7:8" ht="15.75" customHeight="1" x14ac:dyDescent="0.25">
      <c r="G608"/>
      <c r="H608"/>
    </row>
    <row r="609" spans="7:8" ht="15.75" customHeight="1" x14ac:dyDescent="0.25">
      <c r="G609"/>
      <c r="H609"/>
    </row>
    <row r="610" spans="7:8" ht="15.75" customHeight="1" x14ac:dyDescent="0.25">
      <c r="G610"/>
      <c r="H610"/>
    </row>
    <row r="611" spans="7:8" ht="15.75" customHeight="1" x14ac:dyDescent="0.25">
      <c r="G611"/>
      <c r="H611"/>
    </row>
    <row r="612" spans="7:8" ht="15.75" customHeight="1" x14ac:dyDescent="0.25">
      <c r="G612"/>
      <c r="H612"/>
    </row>
    <row r="613" spans="7:8" ht="15.75" customHeight="1" x14ac:dyDescent="0.25">
      <c r="G613"/>
      <c r="H613"/>
    </row>
    <row r="614" spans="7:8" ht="15.75" customHeight="1" x14ac:dyDescent="0.25">
      <c r="G614"/>
      <c r="H614"/>
    </row>
    <row r="615" spans="7:8" ht="15.75" customHeight="1" x14ac:dyDescent="0.25">
      <c r="G615"/>
      <c r="H615"/>
    </row>
    <row r="616" spans="7:8" ht="15.75" customHeight="1" x14ac:dyDescent="0.25">
      <c r="G616"/>
      <c r="H616"/>
    </row>
    <row r="617" spans="7:8" ht="15.75" customHeight="1" x14ac:dyDescent="0.25">
      <c r="G617"/>
      <c r="H617"/>
    </row>
    <row r="618" spans="7:8" ht="15.75" customHeight="1" x14ac:dyDescent="0.25">
      <c r="G618"/>
      <c r="H618"/>
    </row>
    <row r="619" spans="7:8" ht="15.75" customHeight="1" x14ac:dyDescent="0.25">
      <c r="G619"/>
      <c r="H619"/>
    </row>
    <row r="620" spans="7:8" ht="15.75" customHeight="1" x14ac:dyDescent="0.25">
      <c r="G620"/>
      <c r="H620"/>
    </row>
    <row r="621" spans="7:8" ht="15.75" customHeight="1" x14ac:dyDescent="0.25">
      <c r="G621"/>
      <c r="H621"/>
    </row>
    <row r="622" spans="7:8" ht="15.75" customHeight="1" x14ac:dyDescent="0.25">
      <c r="G622"/>
      <c r="H622"/>
    </row>
    <row r="623" spans="7:8" ht="15.75" customHeight="1" x14ac:dyDescent="0.25">
      <c r="G623"/>
      <c r="H623"/>
    </row>
    <row r="624" spans="7:8" ht="15.75" customHeight="1" x14ac:dyDescent="0.25">
      <c r="G624"/>
      <c r="H624"/>
    </row>
    <row r="625" spans="7:8" ht="15.75" customHeight="1" x14ac:dyDescent="0.25">
      <c r="G625"/>
      <c r="H625"/>
    </row>
    <row r="626" spans="7:8" ht="15.75" customHeight="1" x14ac:dyDescent="0.25">
      <c r="G626"/>
      <c r="H626"/>
    </row>
    <row r="627" spans="7:8" ht="15.75" customHeight="1" x14ac:dyDescent="0.25">
      <c r="G627"/>
      <c r="H627"/>
    </row>
    <row r="628" spans="7:8" ht="15.75" customHeight="1" x14ac:dyDescent="0.25">
      <c r="G628"/>
      <c r="H628"/>
    </row>
    <row r="629" spans="7:8" ht="15.75" customHeight="1" x14ac:dyDescent="0.25">
      <c r="G629"/>
      <c r="H629"/>
    </row>
    <row r="630" spans="7:8" ht="15.75" customHeight="1" x14ac:dyDescent="0.25">
      <c r="G630"/>
      <c r="H630"/>
    </row>
    <row r="631" spans="7:8" ht="15.75" customHeight="1" x14ac:dyDescent="0.25">
      <c r="G631"/>
      <c r="H631"/>
    </row>
    <row r="632" spans="7:8" ht="15.75" customHeight="1" x14ac:dyDescent="0.25">
      <c r="G632"/>
      <c r="H632"/>
    </row>
    <row r="633" spans="7:8" ht="15.75" customHeight="1" x14ac:dyDescent="0.25">
      <c r="G633"/>
      <c r="H633"/>
    </row>
    <row r="634" spans="7:8" ht="15.75" customHeight="1" x14ac:dyDescent="0.25">
      <c r="G634"/>
      <c r="H634"/>
    </row>
    <row r="635" spans="7:8" ht="15.75" customHeight="1" x14ac:dyDescent="0.25">
      <c r="G635"/>
      <c r="H635"/>
    </row>
    <row r="636" spans="7:8" ht="15.75" customHeight="1" x14ac:dyDescent="0.25">
      <c r="G636"/>
      <c r="H636"/>
    </row>
    <row r="637" spans="7:8" ht="15.75" customHeight="1" x14ac:dyDescent="0.25">
      <c r="G637"/>
      <c r="H637"/>
    </row>
    <row r="638" spans="7:8" ht="15.75" customHeight="1" x14ac:dyDescent="0.25">
      <c r="G638"/>
      <c r="H638"/>
    </row>
    <row r="639" spans="7:8" ht="15.75" customHeight="1" x14ac:dyDescent="0.25">
      <c r="G639"/>
      <c r="H639"/>
    </row>
    <row r="640" spans="7:8" ht="15.75" customHeight="1" x14ac:dyDescent="0.25">
      <c r="G640"/>
      <c r="H640"/>
    </row>
    <row r="641" spans="7:8" ht="15.75" customHeight="1" x14ac:dyDescent="0.25">
      <c r="G641"/>
      <c r="H641"/>
    </row>
    <row r="642" spans="7:8" ht="15.75" customHeight="1" x14ac:dyDescent="0.25">
      <c r="G642"/>
      <c r="H642"/>
    </row>
    <row r="643" spans="7:8" ht="15.75" customHeight="1" x14ac:dyDescent="0.25">
      <c r="G643"/>
      <c r="H643"/>
    </row>
    <row r="644" spans="7:8" ht="15.75" customHeight="1" x14ac:dyDescent="0.25">
      <c r="G644"/>
      <c r="H644"/>
    </row>
    <row r="645" spans="7:8" ht="15.75" customHeight="1" x14ac:dyDescent="0.25">
      <c r="G645"/>
      <c r="H645"/>
    </row>
    <row r="646" spans="7:8" ht="15.75" customHeight="1" x14ac:dyDescent="0.25">
      <c r="G646"/>
      <c r="H646"/>
    </row>
    <row r="647" spans="7:8" ht="15.75" customHeight="1" x14ac:dyDescent="0.25">
      <c r="G647"/>
      <c r="H647"/>
    </row>
    <row r="648" spans="7:8" ht="15.75" customHeight="1" x14ac:dyDescent="0.25">
      <c r="G648"/>
      <c r="H648"/>
    </row>
    <row r="649" spans="7:8" ht="15.75" customHeight="1" x14ac:dyDescent="0.25">
      <c r="G649"/>
      <c r="H649"/>
    </row>
    <row r="650" spans="7:8" ht="15.75" customHeight="1" x14ac:dyDescent="0.25">
      <c r="G650"/>
      <c r="H650"/>
    </row>
    <row r="651" spans="7:8" ht="15.75" customHeight="1" x14ac:dyDescent="0.25">
      <c r="G651"/>
      <c r="H651"/>
    </row>
    <row r="652" spans="7:8" ht="15.75" customHeight="1" x14ac:dyDescent="0.25">
      <c r="G652"/>
      <c r="H652"/>
    </row>
    <row r="653" spans="7:8" ht="15.75" customHeight="1" x14ac:dyDescent="0.25">
      <c r="G653"/>
      <c r="H653"/>
    </row>
    <row r="654" spans="7:8" ht="15.75" customHeight="1" x14ac:dyDescent="0.25">
      <c r="G654"/>
      <c r="H654"/>
    </row>
    <row r="655" spans="7:8" ht="15.75" customHeight="1" x14ac:dyDescent="0.25">
      <c r="G655"/>
      <c r="H655"/>
    </row>
    <row r="656" spans="7:8" ht="15.75" customHeight="1" x14ac:dyDescent="0.25">
      <c r="G656"/>
      <c r="H656"/>
    </row>
    <row r="657" spans="7:8" ht="15.75" customHeight="1" x14ac:dyDescent="0.25">
      <c r="G657"/>
      <c r="H657"/>
    </row>
    <row r="658" spans="7:8" ht="15.75" customHeight="1" x14ac:dyDescent="0.25">
      <c r="G658"/>
      <c r="H658"/>
    </row>
    <row r="659" spans="7:8" ht="15.75" customHeight="1" x14ac:dyDescent="0.25">
      <c r="G659"/>
      <c r="H659"/>
    </row>
    <row r="660" spans="7:8" ht="15.75" customHeight="1" x14ac:dyDescent="0.25">
      <c r="G660"/>
      <c r="H660"/>
    </row>
    <row r="661" spans="7:8" ht="15.75" customHeight="1" x14ac:dyDescent="0.25">
      <c r="G661"/>
      <c r="H661"/>
    </row>
    <row r="662" spans="7:8" ht="15.75" customHeight="1" x14ac:dyDescent="0.25">
      <c r="G662"/>
      <c r="H662"/>
    </row>
    <row r="663" spans="7:8" ht="15.75" customHeight="1" x14ac:dyDescent="0.25">
      <c r="G663"/>
      <c r="H663"/>
    </row>
    <row r="664" spans="7:8" ht="15.75" customHeight="1" x14ac:dyDescent="0.25">
      <c r="G664"/>
      <c r="H664"/>
    </row>
    <row r="665" spans="7:8" ht="15.75" customHeight="1" x14ac:dyDescent="0.25">
      <c r="G665"/>
      <c r="H665"/>
    </row>
    <row r="666" spans="7:8" ht="15.75" customHeight="1" x14ac:dyDescent="0.25">
      <c r="G666"/>
      <c r="H666"/>
    </row>
    <row r="667" spans="7:8" ht="15.75" customHeight="1" x14ac:dyDescent="0.25">
      <c r="G667"/>
      <c r="H667"/>
    </row>
    <row r="668" spans="7:8" ht="15.75" customHeight="1" x14ac:dyDescent="0.25">
      <c r="G668"/>
      <c r="H668"/>
    </row>
    <row r="669" spans="7:8" ht="15.75" customHeight="1" x14ac:dyDescent="0.25">
      <c r="G669"/>
      <c r="H669"/>
    </row>
    <row r="670" spans="7:8" ht="15.75" customHeight="1" x14ac:dyDescent="0.25">
      <c r="G670"/>
      <c r="H670"/>
    </row>
    <row r="671" spans="7:8" ht="15.75" customHeight="1" x14ac:dyDescent="0.25">
      <c r="G671"/>
      <c r="H671"/>
    </row>
    <row r="672" spans="7:8" ht="15.75" customHeight="1" x14ac:dyDescent="0.25">
      <c r="G672"/>
      <c r="H672"/>
    </row>
    <row r="673" spans="7:8" ht="15.75" customHeight="1" x14ac:dyDescent="0.25">
      <c r="G673"/>
      <c r="H673"/>
    </row>
    <row r="674" spans="7:8" ht="15.75" customHeight="1" x14ac:dyDescent="0.25">
      <c r="G674"/>
      <c r="H674"/>
    </row>
    <row r="675" spans="7:8" ht="15.75" customHeight="1" x14ac:dyDescent="0.25">
      <c r="G675"/>
      <c r="H675"/>
    </row>
    <row r="676" spans="7:8" ht="15.75" customHeight="1" x14ac:dyDescent="0.25">
      <c r="G676"/>
      <c r="H676"/>
    </row>
    <row r="677" spans="7:8" ht="15.75" customHeight="1" x14ac:dyDescent="0.25">
      <c r="G677"/>
      <c r="H677"/>
    </row>
    <row r="678" spans="7:8" ht="15.75" customHeight="1" x14ac:dyDescent="0.25">
      <c r="G678"/>
      <c r="H678"/>
    </row>
    <row r="679" spans="7:8" ht="15.75" customHeight="1" x14ac:dyDescent="0.25">
      <c r="G679"/>
      <c r="H679"/>
    </row>
    <row r="680" spans="7:8" ht="15.75" customHeight="1" x14ac:dyDescent="0.25">
      <c r="G680"/>
      <c r="H680"/>
    </row>
    <row r="681" spans="7:8" ht="15.75" customHeight="1" x14ac:dyDescent="0.25">
      <c r="G681"/>
      <c r="H681"/>
    </row>
    <row r="682" spans="7:8" ht="15.75" customHeight="1" x14ac:dyDescent="0.25">
      <c r="G682"/>
      <c r="H682"/>
    </row>
    <row r="683" spans="7:8" ht="15.75" customHeight="1" x14ac:dyDescent="0.25">
      <c r="G683"/>
      <c r="H683"/>
    </row>
    <row r="684" spans="7:8" ht="15.75" customHeight="1" x14ac:dyDescent="0.25">
      <c r="G684"/>
      <c r="H684"/>
    </row>
    <row r="685" spans="7:8" ht="15.75" customHeight="1" x14ac:dyDescent="0.25">
      <c r="G685"/>
      <c r="H685"/>
    </row>
    <row r="686" spans="7:8" ht="15.75" customHeight="1" x14ac:dyDescent="0.25">
      <c r="G686"/>
      <c r="H686"/>
    </row>
    <row r="687" spans="7:8" ht="15.75" customHeight="1" x14ac:dyDescent="0.25">
      <c r="G687"/>
      <c r="H687"/>
    </row>
    <row r="688" spans="7:8" ht="15.75" customHeight="1" x14ac:dyDescent="0.25">
      <c r="G688"/>
      <c r="H688"/>
    </row>
    <row r="689" spans="7:8" ht="15.75" customHeight="1" x14ac:dyDescent="0.25">
      <c r="G689"/>
      <c r="H689"/>
    </row>
    <row r="690" spans="7:8" ht="15.75" customHeight="1" x14ac:dyDescent="0.25">
      <c r="G690"/>
      <c r="H690"/>
    </row>
    <row r="691" spans="7:8" ht="15.75" customHeight="1" x14ac:dyDescent="0.25">
      <c r="G691"/>
      <c r="H691"/>
    </row>
    <row r="692" spans="7:8" ht="15.75" customHeight="1" x14ac:dyDescent="0.25">
      <c r="G692"/>
      <c r="H692"/>
    </row>
    <row r="693" spans="7:8" ht="15.75" customHeight="1" x14ac:dyDescent="0.25">
      <c r="G693"/>
      <c r="H693"/>
    </row>
    <row r="694" spans="7:8" ht="15.75" customHeight="1" x14ac:dyDescent="0.25">
      <c r="G694"/>
      <c r="H694"/>
    </row>
    <row r="695" spans="7:8" ht="15.75" customHeight="1" x14ac:dyDescent="0.25">
      <c r="G695"/>
      <c r="H695"/>
    </row>
    <row r="696" spans="7:8" ht="15.75" customHeight="1" x14ac:dyDescent="0.25">
      <c r="G696"/>
      <c r="H696"/>
    </row>
    <row r="697" spans="7:8" ht="15.75" customHeight="1" x14ac:dyDescent="0.25">
      <c r="G697"/>
      <c r="H697"/>
    </row>
    <row r="698" spans="7:8" ht="15.75" customHeight="1" x14ac:dyDescent="0.25">
      <c r="G698"/>
      <c r="H698"/>
    </row>
    <row r="699" spans="7:8" ht="15.75" customHeight="1" x14ac:dyDescent="0.25">
      <c r="G699"/>
      <c r="H699"/>
    </row>
    <row r="700" spans="7:8" ht="15.75" customHeight="1" x14ac:dyDescent="0.25">
      <c r="G700"/>
      <c r="H700"/>
    </row>
    <row r="701" spans="7:8" ht="15.75" customHeight="1" x14ac:dyDescent="0.25">
      <c r="G701"/>
      <c r="H701"/>
    </row>
    <row r="702" spans="7:8" ht="15.75" customHeight="1" x14ac:dyDescent="0.25">
      <c r="G702"/>
      <c r="H702"/>
    </row>
    <row r="703" spans="7:8" ht="15.75" customHeight="1" x14ac:dyDescent="0.25">
      <c r="G703"/>
      <c r="H703"/>
    </row>
    <row r="704" spans="7:8" ht="15.75" customHeight="1" x14ac:dyDescent="0.25">
      <c r="G704"/>
      <c r="H704"/>
    </row>
    <row r="705" spans="7:8" ht="15.75" customHeight="1" x14ac:dyDescent="0.25">
      <c r="G705"/>
      <c r="H705"/>
    </row>
    <row r="706" spans="7:8" ht="15.75" customHeight="1" x14ac:dyDescent="0.25">
      <c r="G706"/>
      <c r="H706"/>
    </row>
    <row r="707" spans="7:8" ht="15.75" customHeight="1" x14ac:dyDescent="0.25">
      <c r="G707"/>
      <c r="H707"/>
    </row>
    <row r="708" spans="7:8" ht="15.75" customHeight="1" x14ac:dyDescent="0.25">
      <c r="G708"/>
      <c r="H708"/>
    </row>
    <row r="709" spans="7:8" ht="15.75" customHeight="1" x14ac:dyDescent="0.25">
      <c r="G709"/>
      <c r="H709"/>
    </row>
    <row r="710" spans="7:8" ht="15.75" customHeight="1" x14ac:dyDescent="0.25">
      <c r="G710"/>
      <c r="H710"/>
    </row>
    <row r="711" spans="7:8" ht="15.75" customHeight="1" x14ac:dyDescent="0.25">
      <c r="G711"/>
      <c r="H711"/>
    </row>
    <row r="712" spans="7:8" ht="15.75" customHeight="1" x14ac:dyDescent="0.25">
      <c r="G712"/>
      <c r="H712"/>
    </row>
    <row r="713" spans="7:8" ht="15.75" customHeight="1" x14ac:dyDescent="0.25">
      <c r="G713"/>
      <c r="H713"/>
    </row>
    <row r="714" spans="7:8" ht="15.75" customHeight="1" x14ac:dyDescent="0.25">
      <c r="G714"/>
      <c r="H714"/>
    </row>
    <row r="715" spans="7:8" ht="15.75" customHeight="1" x14ac:dyDescent="0.25">
      <c r="G715"/>
      <c r="H715"/>
    </row>
    <row r="716" spans="7:8" ht="15.75" customHeight="1" x14ac:dyDescent="0.25">
      <c r="G716"/>
      <c r="H716"/>
    </row>
    <row r="717" spans="7:8" ht="15.75" customHeight="1" x14ac:dyDescent="0.25">
      <c r="G717"/>
      <c r="H717"/>
    </row>
    <row r="718" spans="7:8" ht="15.75" customHeight="1" x14ac:dyDescent="0.25">
      <c r="G718"/>
      <c r="H718"/>
    </row>
    <row r="719" spans="7:8" ht="15.75" customHeight="1" x14ac:dyDescent="0.25">
      <c r="G719"/>
      <c r="H719"/>
    </row>
    <row r="720" spans="7:8" ht="15.75" customHeight="1" x14ac:dyDescent="0.25">
      <c r="G720"/>
      <c r="H720"/>
    </row>
    <row r="721" spans="7:8" ht="15.75" customHeight="1" x14ac:dyDescent="0.25">
      <c r="G721"/>
      <c r="H721"/>
    </row>
    <row r="722" spans="7:8" ht="15.75" customHeight="1" x14ac:dyDescent="0.25">
      <c r="G722"/>
      <c r="H722"/>
    </row>
    <row r="723" spans="7:8" ht="15.75" customHeight="1" x14ac:dyDescent="0.25">
      <c r="G723"/>
      <c r="H723"/>
    </row>
    <row r="724" spans="7:8" ht="15.75" customHeight="1" x14ac:dyDescent="0.25">
      <c r="G724"/>
      <c r="H724"/>
    </row>
    <row r="725" spans="7:8" ht="15.75" customHeight="1" x14ac:dyDescent="0.25">
      <c r="G725"/>
      <c r="H725"/>
    </row>
    <row r="726" spans="7:8" ht="15.75" customHeight="1" x14ac:dyDescent="0.25">
      <c r="G726"/>
      <c r="H726"/>
    </row>
    <row r="727" spans="7:8" ht="15.75" customHeight="1" x14ac:dyDescent="0.25">
      <c r="G727"/>
      <c r="H727"/>
    </row>
    <row r="728" spans="7:8" ht="15.75" customHeight="1" x14ac:dyDescent="0.25">
      <c r="G728"/>
      <c r="H728"/>
    </row>
    <row r="729" spans="7:8" ht="15.75" customHeight="1" x14ac:dyDescent="0.25">
      <c r="G729"/>
      <c r="H729"/>
    </row>
    <row r="730" spans="7:8" ht="15.75" customHeight="1" x14ac:dyDescent="0.25">
      <c r="G730"/>
      <c r="H730"/>
    </row>
    <row r="731" spans="7:8" ht="15.75" customHeight="1" x14ac:dyDescent="0.25">
      <c r="G731"/>
      <c r="H731"/>
    </row>
    <row r="732" spans="7:8" ht="15.75" customHeight="1" x14ac:dyDescent="0.25">
      <c r="G732"/>
      <c r="H732"/>
    </row>
    <row r="733" spans="7:8" ht="15.75" customHeight="1" x14ac:dyDescent="0.25">
      <c r="G733"/>
      <c r="H733"/>
    </row>
    <row r="734" spans="7:8" ht="15.75" customHeight="1" x14ac:dyDescent="0.25">
      <c r="G734"/>
      <c r="H734"/>
    </row>
    <row r="735" spans="7:8" ht="15.75" customHeight="1" x14ac:dyDescent="0.25">
      <c r="G735"/>
      <c r="H735"/>
    </row>
    <row r="736" spans="7:8" ht="15.75" customHeight="1" x14ac:dyDescent="0.25">
      <c r="G736"/>
      <c r="H736"/>
    </row>
    <row r="737" spans="7:8" ht="15.75" customHeight="1" x14ac:dyDescent="0.25">
      <c r="G737"/>
      <c r="H737"/>
    </row>
    <row r="738" spans="7:8" ht="15.75" customHeight="1" x14ac:dyDescent="0.25">
      <c r="G738"/>
      <c r="H738"/>
    </row>
    <row r="739" spans="7:8" ht="15.75" customHeight="1" x14ac:dyDescent="0.25">
      <c r="G739"/>
      <c r="H739"/>
    </row>
    <row r="740" spans="7:8" ht="15.75" customHeight="1" x14ac:dyDescent="0.25">
      <c r="G740"/>
      <c r="H740"/>
    </row>
    <row r="741" spans="7:8" ht="15.75" customHeight="1" x14ac:dyDescent="0.25">
      <c r="G741"/>
      <c r="H741"/>
    </row>
    <row r="742" spans="7:8" ht="15.75" customHeight="1" x14ac:dyDescent="0.25">
      <c r="G742"/>
      <c r="H742"/>
    </row>
    <row r="743" spans="7:8" ht="15.75" customHeight="1" x14ac:dyDescent="0.25">
      <c r="G743"/>
      <c r="H743"/>
    </row>
    <row r="744" spans="7:8" ht="15.75" customHeight="1" x14ac:dyDescent="0.25">
      <c r="G744"/>
      <c r="H744"/>
    </row>
    <row r="745" spans="7:8" ht="15.75" customHeight="1" x14ac:dyDescent="0.25">
      <c r="G745"/>
      <c r="H745"/>
    </row>
    <row r="746" spans="7:8" ht="15.75" customHeight="1" x14ac:dyDescent="0.25">
      <c r="G746"/>
      <c r="H746"/>
    </row>
    <row r="747" spans="7:8" ht="15.75" customHeight="1" x14ac:dyDescent="0.25">
      <c r="G747"/>
      <c r="H747"/>
    </row>
    <row r="748" spans="7:8" ht="15.75" customHeight="1" x14ac:dyDescent="0.25">
      <c r="G748"/>
      <c r="H748"/>
    </row>
    <row r="749" spans="7:8" ht="15.75" customHeight="1" x14ac:dyDescent="0.25">
      <c r="G749"/>
      <c r="H749"/>
    </row>
    <row r="750" spans="7:8" ht="15.75" customHeight="1" x14ac:dyDescent="0.25">
      <c r="G750"/>
      <c r="H750"/>
    </row>
    <row r="751" spans="7:8" ht="15.75" customHeight="1" x14ac:dyDescent="0.25">
      <c r="G751"/>
      <c r="H751"/>
    </row>
    <row r="752" spans="7:8" ht="15.75" customHeight="1" x14ac:dyDescent="0.25">
      <c r="G752"/>
      <c r="H752"/>
    </row>
    <row r="753" spans="7:8" ht="15.75" customHeight="1" x14ac:dyDescent="0.25">
      <c r="G753"/>
      <c r="H753"/>
    </row>
    <row r="754" spans="7:8" ht="15.75" customHeight="1" x14ac:dyDescent="0.25">
      <c r="G754"/>
      <c r="H754"/>
    </row>
    <row r="755" spans="7:8" ht="15.75" customHeight="1" x14ac:dyDescent="0.25">
      <c r="G755"/>
      <c r="H755"/>
    </row>
    <row r="756" spans="7:8" ht="15.75" customHeight="1" x14ac:dyDescent="0.25">
      <c r="G756"/>
      <c r="H756"/>
    </row>
    <row r="757" spans="7:8" ht="15.75" customHeight="1" x14ac:dyDescent="0.25">
      <c r="G757"/>
      <c r="H757"/>
    </row>
    <row r="758" spans="7:8" ht="15.75" customHeight="1" x14ac:dyDescent="0.25">
      <c r="G758"/>
      <c r="H758"/>
    </row>
    <row r="759" spans="7:8" ht="15.75" customHeight="1" x14ac:dyDescent="0.25">
      <c r="G759"/>
      <c r="H759"/>
    </row>
    <row r="760" spans="7:8" ht="15.75" customHeight="1" x14ac:dyDescent="0.25">
      <c r="G760"/>
      <c r="H760"/>
    </row>
    <row r="761" spans="7:8" ht="15.75" customHeight="1" x14ac:dyDescent="0.25">
      <c r="G761"/>
      <c r="H761"/>
    </row>
    <row r="762" spans="7:8" ht="15.75" customHeight="1" x14ac:dyDescent="0.25">
      <c r="G762"/>
      <c r="H762"/>
    </row>
    <row r="763" spans="7:8" ht="15.75" customHeight="1" x14ac:dyDescent="0.25">
      <c r="G763"/>
      <c r="H763"/>
    </row>
    <row r="764" spans="7:8" ht="15.75" customHeight="1" x14ac:dyDescent="0.25">
      <c r="G764"/>
      <c r="H764"/>
    </row>
    <row r="765" spans="7:8" ht="15.75" customHeight="1" x14ac:dyDescent="0.25">
      <c r="G765"/>
      <c r="H765"/>
    </row>
    <row r="766" spans="7:8" ht="15.75" customHeight="1" x14ac:dyDescent="0.25">
      <c r="G766"/>
      <c r="H766"/>
    </row>
    <row r="767" spans="7:8" ht="15.75" customHeight="1" x14ac:dyDescent="0.25">
      <c r="G767"/>
      <c r="H767"/>
    </row>
    <row r="768" spans="7:8" ht="15.75" customHeight="1" x14ac:dyDescent="0.25">
      <c r="G768"/>
      <c r="H768"/>
    </row>
    <row r="769" spans="7:8" ht="15.75" customHeight="1" x14ac:dyDescent="0.25">
      <c r="G769"/>
      <c r="H769"/>
    </row>
    <row r="770" spans="7:8" ht="15.75" customHeight="1" x14ac:dyDescent="0.25">
      <c r="G770"/>
      <c r="H770"/>
    </row>
    <row r="771" spans="7:8" ht="15.75" customHeight="1" x14ac:dyDescent="0.25">
      <c r="G771"/>
      <c r="H771"/>
    </row>
    <row r="772" spans="7:8" ht="15.75" customHeight="1" x14ac:dyDescent="0.25">
      <c r="G772"/>
      <c r="H772"/>
    </row>
    <row r="773" spans="7:8" ht="15.75" customHeight="1" x14ac:dyDescent="0.25">
      <c r="G773"/>
      <c r="H773"/>
    </row>
    <row r="774" spans="7:8" ht="15.75" customHeight="1" x14ac:dyDescent="0.25">
      <c r="G774"/>
      <c r="H774"/>
    </row>
    <row r="775" spans="7:8" ht="15.75" customHeight="1" x14ac:dyDescent="0.25">
      <c r="G775"/>
      <c r="H775"/>
    </row>
    <row r="776" spans="7:8" ht="15.75" customHeight="1" x14ac:dyDescent="0.25">
      <c r="G776"/>
      <c r="H776"/>
    </row>
    <row r="777" spans="7:8" ht="15.75" customHeight="1" x14ac:dyDescent="0.25">
      <c r="G777"/>
      <c r="H777"/>
    </row>
    <row r="778" spans="7:8" ht="15.75" customHeight="1" x14ac:dyDescent="0.25">
      <c r="G778"/>
      <c r="H778"/>
    </row>
    <row r="779" spans="7:8" ht="15.75" customHeight="1" x14ac:dyDescent="0.25">
      <c r="G779"/>
      <c r="H779"/>
    </row>
    <row r="780" spans="7:8" ht="15.75" customHeight="1" x14ac:dyDescent="0.25">
      <c r="G780"/>
      <c r="H780"/>
    </row>
    <row r="781" spans="7:8" ht="15.75" customHeight="1" x14ac:dyDescent="0.25">
      <c r="G781"/>
      <c r="H781"/>
    </row>
    <row r="782" spans="7:8" ht="15.75" customHeight="1" x14ac:dyDescent="0.25">
      <c r="G782"/>
      <c r="H782"/>
    </row>
    <row r="783" spans="7:8" ht="15.75" customHeight="1" x14ac:dyDescent="0.25">
      <c r="G783"/>
      <c r="H783"/>
    </row>
    <row r="784" spans="7:8" ht="15.75" customHeight="1" x14ac:dyDescent="0.25">
      <c r="G784"/>
      <c r="H784"/>
    </row>
    <row r="785" spans="7:8" ht="15.75" customHeight="1" x14ac:dyDescent="0.25">
      <c r="G785"/>
      <c r="H785"/>
    </row>
    <row r="786" spans="7:8" ht="15.75" customHeight="1" x14ac:dyDescent="0.25">
      <c r="G786"/>
      <c r="H786"/>
    </row>
    <row r="787" spans="7:8" ht="15.75" customHeight="1" x14ac:dyDescent="0.25">
      <c r="G787"/>
      <c r="H787"/>
    </row>
    <row r="788" spans="7:8" ht="15.75" customHeight="1" x14ac:dyDescent="0.25">
      <c r="G788"/>
      <c r="H788"/>
    </row>
    <row r="789" spans="7:8" ht="15.75" customHeight="1" x14ac:dyDescent="0.25">
      <c r="G789"/>
      <c r="H789"/>
    </row>
    <row r="790" spans="7:8" ht="15.75" customHeight="1" x14ac:dyDescent="0.25">
      <c r="G790"/>
      <c r="H790"/>
    </row>
    <row r="791" spans="7:8" ht="15.75" customHeight="1" x14ac:dyDescent="0.25">
      <c r="G791"/>
      <c r="H791"/>
    </row>
    <row r="792" spans="7:8" ht="15.75" customHeight="1" x14ac:dyDescent="0.25">
      <c r="G792"/>
      <c r="H792"/>
    </row>
    <row r="793" spans="7:8" ht="15.75" customHeight="1" x14ac:dyDescent="0.25">
      <c r="G793"/>
      <c r="H793"/>
    </row>
    <row r="794" spans="7:8" ht="15.75" customHeight="1" x14ac:dyDescent="0.25">
      <c r="G794"/>
      <c r="H794"/>
    </row>
    <row r="795" spans="7:8" ht="15.75" customHeight="1" x14ac:dyDescent="0.25">
      <c r="G795"/>
      <c r="H795"/>
    </row>
    <row r="796" spans="7:8" ht="15.75" customHeight="1" x14ac:dyDescent="0.25">
      <c r="G796"/>
      <c r="H796"/>
    </row>
    <row r="797" spans="7:8" ht="15.75" customHeight="1" x14ac:dyDescent="0.25">
      <c r="G797"/>
      <c r="H797"/>
    </row>
    <row r="798" spans="7:8" ht="15.75" customHeight="1" x14ac:dyDescent="0.25">
      <c r="G798"/>
      <c r="H798"/>
    </row>
    <row r="799" spans="7:8" ht="15.75" customHeight="1" x14ac:dyDescent="0.25">
      <c r="G799"/>
      <c r="H799"/>
    </row>
    <row r="800" spans="7:8" ht="15.75" customHeight="1" x14ac:dyDescent="0.25">
      <c r="G800"/>
      <c r="H800"/>
    </row>
    <row r="801" spans="7:8" ht="15.75" customHeight="1" x14ac:dyDescent="0.25">
      <c r="G801"/>
      <c r="H801"/>
    </row>
    <row r="802" spans="7:8" ht="15.75" customHeight="1" x14ac:dyDescent="0.25">
      <c r="G802"/>
      <c r="H802"/>
    </row>
    <row r="803" spans="7:8" ht="15.75" customHeight="1" x14ac:dyDescent="0.25">
      <c r="G803"/>
      <c r="H803"/>
    </row>
    <row r="804" spans="7:8" ht="15.75" customHeight="1" x14ac:dyDescent="0.25">
      <c r="G804"/>
      <c r="H804"/>
    </row>
    <row r="805" spans="7:8" ht="15.75" customHeight="1" x14ac:dyDescent="0.25">
      <c r="G805"/>
      <c r="H805"/>
    </row>
    <row r="806" spans="7:8" ht="15.75" customHeight="1" x14ac:dyDescent="0.25">
      <c r="G806"/>
      <c r="H806"/>
    </row>
    <row r="807" spans="7:8" ht="15.75" customHeight="1" x14ac:dyDescent="0.25">
      <c r="G807"/>
      <c r="H807"/>
    </row>
    <row r="808" spans="7:8" ht="15.75" customHeight="1" x14ac:dyDescent="0.25">
      <c r="G808"/>
      <c r="H808"/>
    </row>
    <row r="809" spans="7:8" ht="15.75" customHeight="1" x14ac:dyDescent="0.25">
      <c r="G809"/>
      <c r="H809"/>
    </row>
    <row r="810" spans="7:8" ht="15.75" customHeight="1" x14ac:dyDescent="0.25">
      <c r="G810"/>
      <c r="H810"/>
    </row>
    <row r="811" spans="7:8" ht="15.75" customHeight="1" x14ac:dyDescent="0.25">
      <c r="G811"/>
      <c r="H811"/>
    </row>
    <row r="812" spans="7:8" ht="15.75" customHeight="1" x14ac:dyDescent="0.25">
      <c r="G812"/>
      <c r="H812"/>
    </row>
    <row r="813" spans="7:8" ht="15.75" customHeight="1" x14ac:dyDescent="0.25">
      <c r="G813"/>
      <c r="H813"/>
    </row>
    <row r="814" spans="7:8" ht="15.75" customHeight="1" x14ac:dyDescent="0.25">
      <c r="G814"/>
      <c r="H814"/>
    </row>
    <row r="815" spans="7:8" ht="15.75" customHeight="1" x14ac:dyDescent="0.25">
      <c r="G815"/>
      <c r="H815"/>
    </row>
    <row r="816" spans="7:8" ht="15.75" customHeight="1" x14ac:dyDescent="0.25">
      <c r="G816"/>
      <c r="H816"/>
    </row>
    <row r="817" spans="7:8" ht="15.75" customHeight="1" x14ac:dyDescent="0.25">
      <c r="G817"/>
      <c r="H817"/>
    </row>
    <row r="818" spans="7:8" ht="15.75" customHeight="1" x14ac:dyDescent="0.25">
      <c r="G818"/>
      <c r="H818"/>
    </row>
    <row r="819" spans="7:8" ht="15.75" customHeight="1" x14ac:dyDescent="0.25">
      <c r="G819"/>
      <c r="H819"/>
    </row>
    <row r="820" spans="7:8" ht="15.75" customHeight="1" x14ac:dyDescent="0.25">
      <c r="G820"/>
      <c r="H820"/>
    </row>
    <row r="821" spans="7:8" ht="15.75" customHeight="1" x14ac:dyDescent="0.25">
      <c r="G821"/>
      <c r="H821"/>
    </row>
    <row r="822" spans="7:8" ht="15.75" customHeight="1" x14ac:dyDescent="0.25">
      <c r="G822"/>
      <c r="H822"/>
    </row>
    <row r="823" spans="7:8" ht="15.75" customHeight="1" x14ac:dyDescent="0.25">
      <c r="G823"/>
      <c r="H823"/>
    </row>
    <row r="824" spans="7:8" ht="15.75" customHeight="1" x14ac:dyDescent="0.25">
      <c r="G824"/>
      <c r="H824"/>
    </row>
    <row r="825" spans="7:8" ht="15.75" customHeight="1" x14ac:dyDescent="0.25">
      <c r="G825"/>
      <c r="H825"/>
    </row>
    <row r="826" spans="7:8" ht="15.75" customHeight="1" x14ac:dyDescent="0.25">
      <c r="G826"/>
      <c r="H826"/>
    </row>
    <row r="827" spans="7:8" ht="15.75" customHeight="1" x14ac:dyDescent="0.25">
      <c r="G827"/>
      <c r="H827"/>
    </row>
    <row r="828" spans="7:8" ht="15.75" customHeight="1" x14ac:dyDescent="0.25">
      <c r="G828"/>
      <c r="H828"/>
    </row>
    <row r="829" spans="7:8" ht="15.75" customHeight="1" x14ac:dyDescent="0.25">
      <c r="G829"/>
      <c r="H829"/>
    </row>
    <row r="830" spans="7:8" ht="15.75" customHeight="1" x14ac:dyDescent="0.25">
      <c r="G830"/>
      <c r="H830"/>
    </row>
    <row r="831" spans="7:8" ht="15.75" customHeight="1" x14ac:dyDescent="0.25">
      <c r="G831"/>
      <c r="H831"/>
    </row>
    <row r="832" spans="7:8" ht="15.75" customHeight="1" x14ac:dyDescent="0.25">
      <c r="G832"/>
      <c r="H832"/>
    </row>
    <row r="833" spans="7:8" ht="15.75" customHeight="1" x14ac:dyDescent="0.25">
      <c r="G833"/>
      <c r="H833"/>
    </row>
    <row r="834" spans="7:8" ht="15.75" customHeight="1" x14ac:dyDescent="0.25">
      <c r="G834"/>
      <c r="H834"/>
    </row>
    <row r="835" spans="7:8" ht="15.75" customHeight="1" x14ac:dyDescent="0.25">
      <c r="G835"/>
      <c r="H835"/>
    </row>
    <row r="836" spans="7:8" ht="15.75" customHeight="1" x14ac:dyDescent="0.25">
      <c r="G836"/>
      <c r="H836"/>
    </row>
    <row r="837" spans="7:8" ht="15.75" customHeight="1" x14ac:dyDescent="0.25">
      <c r="G837"/>
      <c r="H837"/>
    </row>
    <row r="838" spans="7:8" ht="15.75" customHeight="1" x14ac:dyDescent="0.25">
      <c r="G838"/>
      <c r="H838"/>
    </row>
    <row r="839" spans="7:8" ht="15.75" customHeight="1" x14ac:dyDescent="0.25">
      <c r="G839"/>
      <c r="H839"/>
    </row>
    <row r="840" spans="7:8" ht="15.75" customHeight="1" x14ac:dyDescent="0.25">
      <c r="G840"/>
      <c r="H840"/>
    </row>
    <row r="841" spans="7:8" ht="15.75" customHeight="1" x14ac:dyDescent="0.25">
      <c r="G841"/>
      <c r="H841"/>
    </row>
    <row r="842" spans="7:8" ht="15.75" customHeight="1" x14ac:dyDescent="0.25">
      <c r="G842"/>
      <c r="H842"/>
    </row>
    <row r="843" spans="7:8" ht="15.75" customHeight="1" x14ac:dyDescent="0.25">
      <c r="G843"/>
      <c r="H843"/>
    </row>
    <row r="844" spans="7:8" ht="15.75" customHeight="1" x14ac:dyDescent="0.25">
      <c r="G844"/>
      <c r="H844"/>
    </row>
    <row r="845" spans="7:8" ht="15.75" customHeight="1" x14ac:dyDescent="0.25">
      <c r="G845"/>
      <c r="H845"/>
    </row>
    <row r="846" spans="7:8" ht="15.75" customHeight="1" x14ac:dyDescent="0.25">
      <c r="G846"/>
      <c r="H846"/>
    </row>
    <row r="847" spans="7:8" ht="15.75" customHeight="1" x14ac:dyDescent="0.25">
      <c r="G847"/>
      <c r="H847"/>
    </row>
    <row r="848" spans="7:8" ht="15.75" customHeight="1" x14ac:dyDescent="0.25">
      <c r="G848"/>
      <c r="H848"/>
    </row>
    <row r="849" spans="7:8" ht="15.75" customHeight="1" x14ac:dyDescent="0.25">
      <c r="G849"/>
      <c r="H849"/>
    </row>
    <row r="850" spans="7:8" ht="15.75" customHeight="1" x14ac:dyDescent="0.25">
      <c r="G850"/>
      <c r="H850"/>
    </row>
    <row r="851" spans="7:8" ht="15.75" customHeight="1" x14ac:dyDescent="0.25">
      <c r="G851"/>
      <c r="H851"/>
    </row>
    <row r="852" spans="7:8" ht="15.75" customHeight="1" x14ac:dyDescent="0.25">
      <c r="G852"/>
      <c r="H852"/>
    </row>
    <row r="853" spans="7:8" ht="15.75" customHeight="1" x14ac:dyDescent="0.25">
      <c r="G853"/>
      <c r="H853"/>
    </row>
    <row r="854" spans="7:8" ht="15.75" customHeight="1" x14ac:dyDescent="0.25">
      <c r="G854"/>
      <c r="H854"/>
    </row>
    <row r="855" spans="7:8" ht="15.75" customHeight="1" x14ac:dyDescent="0.25">
      <c r="G855"/>
      <c r="H855"/>
    </row>
    <row r="856" spans="7:8" ht="15.75" customHeight="1" x14ac:dyDescent="0.25">
      <c r="G856"/>
      <c r="H856"/>
    </row>
    <row r="857" spans="7:8" ht="15.75" customHeight="1" x14ac:dyDescent="0.25">
      <c r="G857"/>
      <c r="H857"/>
    </row>
    <row r="858" spans="7:8" ht="15.75" customHeight="1" x14ac:dyDescent="0.25">
      <c r="G858"/>
      <c r="H858"/>
    </row>
    <row r="859" spans="7:8" ht="15.75" customHeight="1" x14ac:dyDescent="0.25">
      <c r="G859"/>
      <c r="H859"/>
    </row>
    <row r="860" spans="7:8" ht="15.75" customHeight="1" x14ac:dyDescent="0.25">
      <c r="G860"/>
      <c r="H860"/>
    </row>
    <row r="861" spans="7:8" ht="15.75" customHeight="1" x14ac:dyDescent="0.25">
      <c r="G861"/>
      <c r="H861"/>
    </row>
    <row r="862" spans="7:8" ht="15.75" customHeight="1" x14ac:dyDescent="0.25">
      <c r="G862"/>
      <c r="H862"/>
    </row>
    <row r="863" spans="7:8" ht="15.75" customHeight="1" x14ac:dyDescent="0.25">
      <c r="G863"/>
      <c r="H863"/>
    </row>
    <row r="864" spans="7:8" ht="15.75" customHeight="1" x14ac:dyDescent="0.25">
      <c r="G864"/>
      <c r="H864"/>
    </row>
    <row r="865" spans="7:8" ht="15.75" customHeight="1" x14ac:dyDescent="0.25">
      <c r="G865"/>
      <c r="H865"/>
    </row>
    <row r="866" spans="7:8" ht="15.75" customHeight="1" x14ac:dyDescent="0.25">
      <c r="G866"/>
      <c r="H866"/>
    </row>
    <row r="867" spans="7:8" ht="15.75" customHeight="1" x14ac:dyDescent="0.25">
      <c r="G867"/>
      <c r="H867"/>
    </row>
    <row r="868" spans="7:8" ht="15.75" customHeight="1" x14ac:dyDescent="0.25">
      <c r="G868"/>
      <c r="H868"/>
    </row>
    <row r="869" spans="7:8" ht="15.75" customHeight="1" x14ac:dyDescent="0.25">
      <c r="G869"/>
      <c r="H869"/>
    </row>
    <row r="870" spans="7:8" ht="15.75" customHeight="1" x14ac:dyDescent="0.25">
      <c r="G870"/>
      <c r="H870"/>
    </row>
    <row r="871" spans="7:8" ht="15.75" customHeight="1" x14ac:dyDescent="0.25">
      <c r="G871"/>
      <c r="H871"/>
    </row>
    <row r="872" spans="7:8" ht="15.75" customHeight="1" x14ac:dyDescent="0.25">
      <c r="G872"/>
      <c r="H872"/>
    </row>
    <row r="873" spans="7:8" ht="15.75" customHeight="1" x14ac:dyDescent="0.25">
      <c r="G873"/>
      <c r="H873"/>
    </row>
    <row r="874" spans="7:8" ht="15.75" customHeight="1" x14ac:dyDescent="0.25">
      <c r="G874"/>
      <c r="H874"/>
    </row>
    <row r="875" spans="7:8" ht="15.75" customHeight="1" x14ac:dyDescent="0.25">
      <c r="G875"/>
      <c r="H875"/>
    </row>
    <row r="876" spans="7:8" ht="15.75" customHeight="1" x14ac:dyDescent="0.25">
      <c r="G876"/>
      <c r="H876"/>
    </row>
    <row r="877" spans="7:8" ht="15.75" customHeight="1" x14ac:dyDescent="0.25">
      <c r="G877"/>
      <c r="H877"/>
    </row>
    <row r="878" spans="7:8" ht="15.75" customHeight="1" x14ac:dyDescent="0.25">
      <c r="G878"/>
      <c r="H878"/>
    </row>
    <row r="879" spans="7:8" ht="15.75" customHeight="1" x14ac:dyDescent="0.25">
      <c r="G879"/>
      <c r="H879"/>
    </row>
    <row r="880" spans="7:8" ht="15.75" customHeight="1" x14ac:dyDescent="0.25">
      <c r="G880"/>
      <c r="H880"/>
    </row>
    <row r="881" spans="7:8" ht="15.75" customHeight="1" x14ac:dyDescent="0.25">
      <c r="G881"/>
      <c r="H881"/>
    </row>
    <row r="882" spans="7:8" ht="15.75" customHeight="1" x14ac:dyDescent="0.25">
      <c r="G882"/>
      <c r="H882"/>
    </row>
    <row r="883" spans="7:8" ht="15.75" customHeight="1" x14ac:dyDescent="0.25">
      <c r="G883"/>
      <c r="H883"/>
    </row>
    <row r="884" spans="7:8" ht="15.75" customHeight="1" x14ac:dyDescent="0.25">
      <c r="G884"/>
      <c r="H884"/>
    </row>
    <row r="885" spans="7:8" ht="15.75" customHeight="1" x14ac:dyDescent="0.25">
      <c r="G885"/>
      <c r="H885"/>
    </row>
    <row r="886" spans="7:8" ht="15.75" customHeight="1" x14ac:dyDescent="0.25">
      <c r="G886"/>
      <c r="H886"/>
    </row>
    <row r="887" spans="7:8" ht="15.75" customHeight="1" x14ac:dyDescent="0.25">
      <c r="G887"/>
      <c r="H887"/>
    </row>
    <row r="888" spans="7:8" ht="15.75" customHeight="1" x14ac:dyDescent="0.25">
      <c r="G888"/>
      <c r="H888"/>
    </row>
    <row r="889" spans="7:8" ht="15.75" customHeight="1" x14ac:dyDescent="0.25">
      <c r="G889"/>
      <c r="H889"/>
    </row>
    <row r="890" spans="7:8" ht="15.75" customHeight="1" x14ac:dyDescent="0.25">
      <c r="G890"/>
      <c r="H890"/>
    </row>
    <row r="891" spans="7:8" ht="15.75" customHeight="1" x14ac:dyDescent="0.25">
      <c r="G891"/>
      <c r="H891"/>
    </row>
    <row r="892" spans="7:8" ht="15.75" customHeight="1" x14ac:dyDescent="0.25">
      <c r="G892"/>
      <c r="H892"/>
    </row>
    <row r="893" spans="7:8" ht="15.75" customHeight="1" x14ac:dyDescent="0.25">
      <c r="G893"/>
      <c r="H893"/>
    </row>
    <row r="894" spans="7:8" ht="15.75" customHeight="1" x14ac:dyDescent="0.25">
      <c r="G894"/>
      <c r="H894"/>
    </row>
    <row r="895" spans="7:8" ht="15.75" customHeight="1" x14ac:dyDescent="0.25">
      <c r="G895"/>
      <c r="H895"/>
    </row>
    <row r="896" spans="7:8" ht="15.75" customHeight="1" x14ac:dyDescent="0.25">
      <c r="G896"/>
      <c r="H896"/>
    </row>
    <row r="897" spans="7:8" ht="15.75" customHeight="1" x14ac:dyDescent="0.25">
      <c r="G897"/>
      <c r="H897"/>
    </row>
    <row r="898" spans="7:8" ht="15.75" customHeight="1" x14ac:dyDescent="0.25">
      <c r="G898"/>
      <c r="H898"/>
    </row>
    <row r="899" spans="7:8" ht="15.75" customHeight="1" x14ac:dyDescent="0.25">
      <c r="G899"/>
      <c r="H899"/>
    </row>
    <row r="900" spans="7:8" ht="15.75" customHeight="1" x14ac:dyDescent="0.25">
      <c r="G900"/>
      <c r="H900"/>
    </row>
    <row r="901" spans="7:8" ht="15.75" customHeight="1" x14ac:dyDescent="0.25">
      <c r="G901"/>
      <c r="H901"/>
    </row>
    <row r="902" spans="7:8" ht="15.75" customHeight="1" x14ac:dyDescent="0.25">
      <c r="G902"/>
      <c r="H902"/>
    </row>
    <row r="903" spans="7:8" ht="15.75" customHeight="1" x14ac:dyDescent="0.25">
      <c r="G903"/>
      <c r="H903"/>
    </row>
    <row r="904" spans="7:8" ht="15.75" customHeight="1" x14ac:dyDescent="0.25">
      <c r="G904"/>
      <c r="H904"/>
    </row>
    <row r="905" spans="7:8" ht="15.75" customHeight="1" x14ac:dyDescent="0.25">
      <c r="G905"/>
      <c r="H905"/>
    </row>
    <row r="906" spans="7:8" ht="15.75" customHeight="1" x14ac:dyDescent="0.25">
      <c r="G906"/>
      <c r="H906"/>
    </row>
    <row r="907" spans="7:8" ht="15.75" customHeight="1" x14ac:dyDescent="0.25">
      <c r="G907"/>
      <c r="H907"/>
    </row>
    <row r="908" spans="7:8" ht="15.75" customHeight="1" x14ac:dyDescent="0.25">
      <c r="G908"/>
      <c r="H908"/>
    </row>
    <row r="909" spans="7:8" ht="15.75" customHeight="1" x14ac:dyDescent="0.25">
      <c r="G909"/>
      <c r="H909"/>
    </row>
    <row r="910" spans="7:8" ht="15.75" customHeight="1" x14ac:dyDescent="0.25">
      <c r="G910"/>
      <c r="H910"/>
    </row>
    <row r="911" spans="7:8" ht="15.75" customHeight="1" x14ac:dyDescent="0.25">
      <c r="G911"/>
      <c r="H911"/>
    </row>
    <row r="912" spans="7:8" ht="15.75" customHeight="1" x14ac:dyDescent="0.25">
      <c r="G912"/>
      <c r="H912"/>
    </row>
    <row r="913" spans="7:8" ht="15.75" customHeight="1" x14ac:dyDescent="0.25">
      <c r="G913"/>
      <c r="H913"/>
    </row>
    <row r="914" spans="7:8" ht="15.75" customHeight="1" x14ac:dyDescent="0.25">
      <c r="G914"/>
      <c r="H914"/>
    </row>
    <row r="915" spans="7:8" ht="15.75" customHeight="1" x14ac:dyDescent="0.25">
      <c r="G915"/>
      <c r="H915"/>
    </row>
    <row r="916" spans="7:8" ht="15.75" customHeight="1" x14ac:dyDescent="0.25">
      <c r="G916"/>
      <c r="H916"/>
    </row>
    <row r="917" spans="7:8" ht="15.75" customHeight="1" x14ac:dyDescent="0.25">
      <c r="G917"/>
      <c r="H917"/>
    </row>
    <row r="918" spans="7:8" ht="15.75" customHeight="1" x14ac:dyDescent="0.25">
      <c r="G918"/>
      <c r="H918"/>
    </row>
    <row r="919" spans="7:8" ht="15.75" customHeight="1" x14ac:dyDescent="0.25">
      <c r="G919"/>
      <c r="H919"/>
    </row>
    <row r="920" spans="7:8" ht="15.75" customHeight="1" x14ac:dyDescent="0.25">
      <c r="G920"/>
      <c r="H920"/>
    </row>
    <row r="921" spans="7:8" ht="15.75" customHeight="1" x14ac:dyDescent="0.25">
      <c r="G921"/>
      <c r="H921"/>
    </row>
    <row r="922" spans="7:8" ht="15.75" customHeight="1" x14ac:dyDescent="0.25">
      <c r="G922"/>
      <c r="H922"/>
    </row>
    <row r="923" spans="7:8" ht="15.75" customHeight="1" x14ac:dyDescent="0.25">
      <c r="G923"/>
      <c r="H923"/>
    </row>
    <row r="924" spans="7:8" ht="15.75" customHeight="1" x14ac:dyDescent="0.25">
      <c r="G924"/>
      <c r="H924"/>
    </row>
    <row r="925" spans="7:8" ht="15.75" customHeight="1" x14ac:dyDescent="0.25">
      <c r="G925"/>
      <c r="H925"/>
    </row>
    <row r="926" spans="7:8" ht="15.75" customHeight="1" x14ac:dyDescent="0.25">
      <c r="G926"/>
      <c r="H926"/>
    </row>
    <row r="927" spans="7:8" ht="15.75" customHeight="1" x14ac:dyDescent="0.25">
      <c r="G927"/>
      <c r="H927"/>
    </row>
    <row r="928" spans="7:8" ht="15.75" customHeight="1" x14ac:dyDescent="0.25">
      <c r="G928"/>
      <c r="H928"/>
    </row>
    <row r="929" spans="7:8" ht="15.75" customHeight="1" x14ac:dyDescent="0.25">
      <c r="G929"/>
      <c r="H929"/>
    </row>
    <row r="930" spans="7:8" ht="15.75" customHeight="1" x14ac:dyDescent="0.25">
      <c r="G930"/>
      <c r="H930"/>
    </row>
    <row r="931" spans="7:8" ht="15.75" customHeight="1" x14ac:dyDescent="0.25">
      <c r="G931"/>
      <c r="H931"/>
    </row>
    <row r="932" spans="7:8" ht="15.75" customHeight="1" x14ac:dyDescent="0.25">
      <c r="G932"/>
      <c r="H932"/>
    </row>
    <row r="933" spans="7:8" ht="15.75" customHeight="1" x14ac:dyDescent="0.25">
      <c r="G933"/>
      <c r="H933"/>
    </row>
    <row r="934" spans="7:8" ht="15.75" customHeight="1" x14ac:dyDescent="0.25">
      <c r="G934"/>
      <c r="H934"/>
    </row>
    <row r="935" spans="7:8" ht="15.75" customHeight="1" x14ac:dyDescent="0.25">
      <c r="G935"/>
      <c r="H935"/>
    </row>
    <row r="936" spans="7:8" ht="15.75" customHeight="1" x14ac:dyDescent="0.25">
      <c r="G936"/>
      <c r="H936"/>
    </row>
    <row r="937" spans="7:8" ht="15.75" customHeight="1" x14ac:dyDescent="0.25">
      <c r="G937"/>
      <c r="H937"/>
    </row>
    <row r="938" spans="7:8" ht="15.75" customHeight="1" x14ac:dyDescent="0.25">
      <c r="G938"/>
      <c r="H938"/>
    </row>
    <row r="939" spans="7:8" ht="15.75" customHeight="1" x14ac:dyDescent="0.25">
      <c r="G939"/>
      <c r="H939"/>
    </row>
    <row r="940" spans="7:8" ht="15.75" customHeight="1" x14ac:dyDescent="0.25">
      <c r="G940"/>
      <c r="H940"/>
    </row>
    <row r="941" spans="7:8" ht="15.75" customHeight="1" x14ac:dyDescent="0.25">
      <c r="G941"/>
      <c r="H941"/>
    </row>
    <row r="942" spans="7:8" ht="15.75" customHeight="1" x14ac:dyDescent="0.25">
      <c r="G942"/>
      <c r="H942"/>
    </row>
    <row r="943" spans="7:8" ht="15.75" customHeight="1" x14ac:dyDescent="0.25">
      <c r="G943"/>
      <c r="H943"/>
    </row>
    <row r="944" spans="7:8" ht="15.75" customHeight="1" x14ac:dyDescent="0.25">
      <c r="G944"/>
      <c r="H944"/>
    </row>
    <row r="945" spans="7:8" ht="15.75" customHeight="1" x14ac:dyDescent="0.25">
      <c r="G945"/>
      <c r="H945"/>
    </row>
    <row r="946" spans="7:8" ht="15.75" customHeight="1" x14ac:dyDescent="0.25">
      <c r="G946"/>
      <c r="H946"/>
    </row>
    <row r="947" spans="7:8" ht="15.75" customHeight="1" x14ac:dyDescent="0.25">
      <c r="G947"/>
      <c r="H947"/>
    </row>
    <row r="948" spans="7:8" ht="15.75" customHeight="1" x14ac:dyDescent="0.25">
      <c r="G948"/>
      <c r="H948"/>
    </row>
    <row r="949" spans="7:8" ht="15.75" customHeight="1" x14ac:dyDescent="0.25">
      <c r="G949"/>
      <c r="H949"/>
    </row>
    <row r="950" spans="7:8" ht="15.75" customHeight="1" x14ac:dyDescent="0.25">
      <c r="G950"/>
      <c r="H950"/>
    </row>
    <row r="951" spans="7:8" ht="15.75" customHeight="1" x14ac:dyDescent="0.25">
      <c r="G951"/>
      <c r="H951"/>
    </row>
    <row r="952" spans="7:8" ht="15.75" customHeight="1" x14ac:dyDescent="0.25">
      <c r="G952"/>
      <c r="H952"/>
    </row>
    <row r="953" spans="7:8" ht="15.75" customHeight="1" x14ac:dyDescent="0.25">
      <c r="G953"/>
      <c r="H953"/>
    </row>
    <row r="954" spans="7:8" ht="15.75" customHeight="1" x14ac:dyDescent="0.25">
      <c r="G954"/>
      <c r="H954"/>
    </row>
    <row r="955" spans="7:8" ht="15.75" customHeight="1" x14ac:dyDescent="0.25">
      <c r="G955"/>
      <c r="H955"/>
    </row>
    <row r="956" spans="7:8" ht="15.75" customHeight="1" x14ac:dyDescent="0.25">
      <c r="G956"/>
      <c r="H956"/>
    </row>
    <row r="957" spans="7:8" ht="15.75" customHeight="1" x14ac:dyDescent="0.25">
      <c r="G957"/>
      <c r="H957"/>
    </row>
    <row r="958" spans="7:8" ht="15.75" customHeight="1" x14ac:dyDescent="0.25">
      <c r="G958"/>
      <c r="H958"/>
    </row>
    <row r="959" spans="7:8" ht="15.75" customHeight="1" x14ac:dyDescent="0.25">
      <c r="G959"/>
      <c r="H959"/>
    </row>
    <row r="960" spans="7:8" ht="15.75" customHeight="1" x14ac:dyDescent="0.25">
      <c r="G960"/>
      <c r="H960"/>
    </row>
    <row r="961" spans="7:8" ht="15.75" customHeight="1" x14ac:dyDescent="0.25">
      <c r="G961"/>
      <c r="H961"/>
    </row>
    <row r="962" spans="7:8" ht="15.75" customHeight="1" x14ac:dyDescent="0.25">
      <c r="G962"/>
      <c r="H962"/>
    </row>
    <row r="963" spans="7:8" ht="15.75" customHeight="1" x14ac:dyDescent="0.25">
      <c r="G963"/>
      <c r="H963"/>
    </row>
    <row r="964" spans="7:8" ht="15.75" customHeight="1" x14ac:dyDescent="0.25">
      <c r="G964"/>
      <c r="H964"/>
    </row>
    <row r="965" spans="7:8" ht="15.75" customHeight="1" x14ac:dyDescent="0.25">
      <c r="G965"/>
      <c r="H965"/>
    </row>
    <row r="966" spans="7:8" ht="15.75" customHeight="1" x14ac:dyDescent="0.25">
      <c r="G966"/>
      <c r="H966"/>
    </row>
    <row r="967" spans="7:8" ht="15.75" customHeight="1" x14ac:dyDescent="0.25">
      <c r="G967"/>
      <c r="H967"/>
    </row>
    <row r="968" spans="7:8" ht="15.75" customHeight="1" x14ac:dyDescent="0.25">
      <c r="G968"/>
      <c r="H968"/>
    </row>
    <row r="969" spans="7:8" ht="15.75" customHeight="1" x14ac:dyDescent="0.25">
      <c r="G969"/>
      <c r="H969"/>
    </row>
    <row r="970" spans="7:8" ht="15.75" customHeight="1" x14ac:dyDescent="0.25">
      <c r="G970"/>
      <c r="H970"/>
    </row>
    <row r="971" spans="7:8" ht="15.75" customHeight="1" x14ac:dyDescent="0.25">
      <c r="G971"/>
      <c r="H971"/>
    </row>
    <row r="972" spans="7:8" ht="15.75" customHeight="1" x14ac:dyDescent="0.25">
      <c r="G972"/>
      <c r="H972"/>
    </row>
    <row r="973" spans="7:8" ht="15.75" customHeight="1" x14ac:dyDescent="0.25">
      <c r="G973"/>
      <c r="H973"/>
    </row>
    <row r="974" spans="7:8" ht="15.75" customHeight="1" x14ac:dyDescent="0.25">
      <c r="G974"/>
      <c r="H974"/>
    </row>
    <row r="975" spans="7:8" ht="15.75" customHeight="1" x14ac:dyDescent="0.25">
      <c r="G975"/>
      <c r="H975"/>
    </row>
    <row r="976" spans="7:8" ht="15.75" customHeight="1" x14ac:dyDescent="0.25">
      <c r="G976"/>
      <c r="H976"/>
    </row>
    <row r="977" spans="7:8" ht="15.75" customHeight="1" x14ac:dyDescent="0.25">
      <c r="G977"/>
      <c r="H977"/>
    </row>
    <row r="978" spans="7:8" ht="15.75" customHeight="1" x14ac:dyDescent="0.25">
      <c r="G978"/>
      <c r="H978"/>
    </row>
    <row r="979" spans="7:8" ht="15.75" customHeight="1" x14ac:dyDescent="0.25">
      <c r="G979"/>
      <c r="H979"/>
    </row>
    <row r="980" spans="7:8" ht="15.75" customHeight="1" x14ac:dyDescent="0.25">
      <c r="G980"/>
      <c r="H980"/>
    </row>
    <row r="981" spans="7:8" ht="15.75" customHeight="1" x14ac:dyDescent="0.25">
      <c r="G981"/>
      <c r="H981"/>
    </row>
    <row r="982" spans="7:8" ht="15.75" customHeight="1" x14ac:dyDescent="0.25">
      <c r="G982"/>
      <c r="H982"/>
    </row>
    <row r="983" spans="7:8" ht="15.75" customHeight="1" x14ac:dyDescent="0.25">
      <c r="G983"/>
      <c r="H983"/>
    </row>
    <row r="984" spans="7:8" ht="15.75" customHeight="1" x14ac:dyDescent="0.25">
      <c r="G984"/>
      <c r="H984"/>
    </row>
    <row r="985" spans="7:8" ht="15.75" customHeight="1" x14ac:dyDescent="0.25">
      <c r="G985"/>
      <c r="H985"/>
    </row>
    <row r="986" spans="7:8" ht="15.75" customHeight="1" x14ac:dyDescent="0.25">
      <c r="G986"/>
      <c r="H986"/>
    </row>
    <row r="987" spans="7:8" ht="15.75" customHeight="1" x14ac:dyDescent="0.25">
      <c r="G987"/>
      <c r="H987"/>
    </row>
    <row r="988" spans="7:8" ht="15.75" customHeight="1" x14ac:dyDescent="0.25">
      <c r="G988"/>
      <c r="H988"/>
    </row>
    <row r="989" spans="7:8" ht="15.75" customHeight="1" x14ac:dyDescent="0.25">
      <c r="G989"/>
      <c r="H989"/>
    </row>
    <row r="990" spans="7:8" ht="15.75" customHeight="1" x14ac:dyDescent="0.25">
      <c r="G990"/>
      <c r="H990"/>
    </row>
    <row r="991" spans="7:8" ht="15.75" customHeight="1" x14ac:dyDescent="0.25">
      <c r="G991"/>
      <c r="H991"/>
    </row>
    <row r="992" spans="7:8" ht="15.75" customHeight="1" x14ac:dyDescent="0.25">
      <c r="G992"/>
      <c r="H992"/>
    </row>
    <row r="993" spans="7:8" ht="15.75" customHeight="1" x14ac:dyDescent="0.25">
      <c r="G993"/>
      <c r="H993"/>
    </row>
    <row r="994" spans="7:8" ht="15.75" customHeight="1" x14ac:dyDescent="0.25">
      <c r="G994"/>
      <c r="H994"/>
    </row>
    <row r="995" spans="7:8" ht="15.75" customHeight="1" x14ac:dyDescent="0.25">
      <c r="G995"/>
      <c r="H995"/>
    </row>
    <row r="996" spans="7:8" ht="15.75" customHeight="1" x14ac:dyDescent="0.25">
      <c r="G996"/>
      <c r="H996"/>
    </row>
    <row r="997" spans="7:8" ht="15.75" customHeight="1" x14ac:dyDescent="0.25">
      <c r="G997"/>
      <c r="H997"/>
    </row>
    <row r="998" spans="7:8" ht="15.75" customHeight="1" x14ac:dyDescent="0.25">
      <c r="G998"/>
      <c r="H998"/>
    </row>
    <row r="999" spans="7:8" ht="15.75" customHeight="1" x14ac:dyDescent="0.25">
      <c r="G999"/>
      <c r="H999"/>
    </row>
    <row r="1000" spans="7:8" ht="15.75" customHeight="1" x14ac:dyDescent="0.25">
      <c r="G1000"/>
      <c r="H1000"/>
    </row>
    <row r="1001" spans="7:8" ht="15.75" customHeight="1" x14ac:dyDescent="0.25">
      <c r="G1001"/>
      <c r="H1001"/>
    </row>
    <row r="1002" spans="7:8" ht="15.75" customHeight="1" x14ac:dyDescent="0.25"/>
    <row r="1003" spans="7:8" ht="15.75" customHeight="1" x14ac:dyDescent="0.25"/>
    <row r="1004" spans="7:8" ht="15.75" customHeight="1" x14ac:dyDescent="0.25"/>
    <row r="1005" spans="7:8" ht="15.75" customHeight="1" x14ac:dyDescent="0.25"/>
    <row r="1006" spans="7:8" ht="15.75" customHeight="1" x14ac:dyDescent="0.25"/>
    <row r="1007" spans="7:8" ht="15.75" customHeight="1" x14ac:dyDescent="0.25"/>
    <row r="1008" spans="7:8" ht="15.75" customHeight="1" x14ac:dyDescent="0.25"/>
    <row r="1009" ht="15.75" customHeight="1" x14ac:dyDescent="0.25"/>
    <row r="1010" ht="15.75" customHeight="1" x14ac:dyDescent="0.25"/>
    <row r="1011" ht="15.75" customHeight="1" x14ac:dyDescent="0.25"/>
    <row r="1012" ht="15.75" customHeight="1" x14ac:dyDescent="0.25"/>
    <row r="1013" ht="15.75" customHeight="1" x14ac:dyDescent="0.25"/>
    <row r="1014" ht="15.75" customHeight="1" x14ac:dyDescent="0.25"/>
    <row r="1015" ht="15.75" customHeight="1" x14ac:dyDescent="0.25"/>
    <row r="1016" ht="15.75" customHeight="1" x14ac:dyDescent="0.25"/>
    <row r="1017" ht="15.75" customHeight="1" x14ac:dyDescent="0.25"/>
    <row r="1018" ht="15.75" customHeight="1" x14ac:dyDescent="0.25"/>
    <row r="1019" ht="15.75" customHeight="1" x14ac:dyDescent="0.25"/>
    <row r="1020" ht="15.75" customHeight="1" x14ac:dyDescent="0.25"/>
    <row r="1021" ht="15.75" customHeight="1" x14ac:dyDescent="0.25"/>
    <row r="1022" ht="15.75" customHeight="1" x14ac:dyDescent="0.25"/>
    <row r="1023" ht="15.75" customHeight="1" x14ac:dyDescent="0.25"/>
    <row r="1024" ht="15.75" customHeight="1" x14ac:dyDescent="0.25"/>
    <row r="1025" ht="15.75" customHeight="1" x14ac:dyDescent="0.25"/>
    <row r="1026" ht="15.75" customHeight="1" x14ac:dyDescent="0.25"/>
    <row r="1027" ht="15.75" customHeight="1" x14ac:dyDescent="0.25"/>
    <row r="1028" ht="15.75" customHeight="1" x14ac:dyDescent="0.25"/>
    <row r="1029" ht="15.75" customHeight="1" x14ac:dyDescent="0.25"/>
    <row r="1030" ht="15.75" customHeight="1" x14ac:dyDescent="0.25"/>
    <row r="1031" ht="15.75" customHeight="1" x14ac:dyDescent="0.25"/>
    <row r="1032" ht="15.75" customHeight="1" x14ac:dyDescent="0.25"/>
    <row r="1033" ht="15.75" customHeight="1" x14ac:dyDescent="0.25"/>
    <row r="1034" ht="15.75" customHeight="1" x14ac:dyDescent="0.25"/>
    <row r="1035" ht="15.75" customHeight="1" x14ac:dyDescent="0.25"/>
    <row r="1036" ht="15.75" customHeight="1" x14ac:dyDescent="0.25"/>
    <row r="1037" ht="15.75" customHeight="1" x14ac:dyDescent="0.25"/>
    <row r="1038" ht="15.75" customHeight="1" x14ac:dyDescent="0.25"/>
    <row r="1039" ht="15.75" customHeight="1" x14ac:dyDescent="0.25"/>
    <row r="1040" ht="15.75" customHeight="1" x14ac:dyDescent="0.25"/>
    <row r="1041" ht="15.75" customHeight="1" x14ac:dyDescent="0.25"/>
    <row r="1042" ht="15.75" customHeight="1" x14ac:dyDescent="0.25"/>
    <row r="1043" ht="15.75" customHeight="1" x14ac:dyDescent="0.25"/>
    <row r="1044" ht="15.75" customHeight="1" x14ac:dyDescent="0.25"/>
    <row r="1045" ht="15.75" customHeight="1" x14ac:dyDescent="0.25"/>
    <row r="1046" ht="15.75" customHeight="1" x14ac:dyDescent="0.25"/>
    <row r="1047" ht="15.75" customHeight="1" x14ac:dyDescent="0.25"/>
    <row r="1048" ht="15.75" customHeight="1" x14ac:dyDescent="0.25"/>
    <row r="1049" ht="15.75" customHeight="1" x14ac:dyDescent="0.25"/>
    <row r="1050" ht="15.75" customHeight="1" x14ac:dyDescent="0.25"/>
    <row r="1051" ht="15.75" customHeight="1" x14ac:dyDescent="0.25"/>
    <row r="1052" ht="15.75" customHeight="1" x14ac:dyDescent="0.25"/>
    <row r="1053" ht="15.75" customHeight="1" x14ac:dyDescent="0.25"/>
    <row r="1054" ht="15.75" customHeight="1" x14ac:dyDescent="0.25"/>
    <row r="1055" ht="15.75" customHeight="1" x14ac:dyDescent="0.25"/>
    <row r="1056" ht="15.75" customHeight="1" x14ac:dyDescent="0.25"/>
    <row r="1057" ht="15.75" customHeight="1" x14ac:dyDescent="0.25"/>
    <row r="1058" ht="15.75" customHeight="1" x14ac:dyDescent="0.25"/>
    <row r="1059" ht="15.75" customHeight="1" x14ac:dyDescent="0.25"/>
    <row r="1060" ht="15.75" customHeight="1" x14ac:dyDescent="0.25"/>
    <row r="1061" ht="15.75" customHeight="1" x14ac:dyDescent="0.25"/>
    <row r="1062" ht="15.75" customHeight="1" x14ac:dyDescent="0.25"/>
    <row r="1063" ht="15.75" customHeight="1" x14ac:dyDescent="0.25"/>
    <row r="1064" ht="15.75" customHeight="1" x14ac:dyDescent="0.25"/>
    <row r="1065" ht="15.75" customHeight="1" x14ac:dyDescent="0.25"/>
    <row r="1066" ht="15.75" customHeight="1" x14ac:dyDescent="0.25"/>
    <row r="1067" ht="15.75" customHeight="1" x14ac:dyDescent="0.25"/>
    <row r="1068" ht="15.75" customHeight="1" x14ac:dyDescent="0.25"/>
    <row r="1069" ht="15.75" customHeight="1" x14ac:dyDescent="0.25"/>
    <row r="1070" ht="15.75" customHeight="1" x14ac:dyDescent="0.25"/>
    <row r="1071" ht="15.75" customHeight="1" x14ac:dyDescent="0.25"/>
    <row r="1072" ht="15.75" customHeight="1" x14ac:dyDescent="0.25"/>
    <row r="1073" ht="15.75" customHeight="1" x14ac:dyDescent="0.25"/>
    <row r="1074" ht="15.75" customHeight="1" x14ac:dyDescent="0.25"/>
    <row r="1075" ht="15.75" customHeight="1" x14ac:dyDescent="0.25"/>
    <row r="1076" ht="15.75" customHeight="1" x14ac:dyDescent="0.25"/>
    <row r="1077" ht="15.75" customHeight="1" x14ac:dyDescent="0.25"/>
    <row r="1078" ht="15.75" customHeight="1" x14ac:dyDescent="0.25"/>
    <row r="1079" ht="15.75" customHeight="1" x14ac:dyDescent="0.25"/>
    <row r="1080" ht="15.75" customHeight="1" x14ac:dyDescent="0.25"/>
    <row r="1081" ht="15.75" customHeight="1" x14ac:dyDescent="0.25"/>
    <row r="1082" ht="15.75" customHeight="1" x14ac:dyDescent="0.25"/>
    <row r="1083" ht="15.75" customHeight="1" x14ac:dyDescent="0.25"/>
    <row r="1084" ht="15.75" customHeight="1" x14ac:dyDescent="0.25"/>
    <row r="1085" ht="15.75" customHeight="1" x14ac:dyDescent="0.25"/>
    <row r="1086" ht="15.75" customHeight="1" x14ac:dyDescent="0.25"/>
    <row r="1087" ht="15.75" customHeight="1" x14ac:dyDescent="0.25"/>
    <row r="1088" ht="15.75" customHeight="1" x14ac:dyDescent="0.25"/>
    <row r="1089" ht="15.75" customHeight="1" x14ac:dyDescent="0.25"/>
    <row r="1090" ht="15.75" customHeight="1" x14ac:dyDescent="0.25"/>
    <row r="1091" ht="15.75" customHeight="1" x14ac:dyDescent="0.25"/>
    <row r="1092" ht="15.75" customHeight="1" x14ac:dyDescent="0.25"/>
    <row r="1093" ht="15.75" customHeight="1" x14ac:dyDescent="0.25"/>
    <row r="1094" ht="15.75" customHeight="1" x14ac:dyDescent="0.25"/>
    <row r="1095" ht="15.75" customHeight="1" x14ac:dyDescent="0.25"/>
    <row r="1096" ht="15.75" customHeight="1" x14ac:dyDescent="0.25"/>
    <row r="1097" ht="15.75" customHeight="1" x14ac:dyDescent="0.25"/>
    <row r="1098" ht="15.75" customHeight="1" x14ac:dyDescent="0.25"/>
    <row r="1099" ht="15.75" customHeight="1" x14ac:dyDescent="0.25"/>
    <row r="1100" ht="15.75" customHeight="1" x14ac:dyDescent="0.25"/>
    <row r="1101" ht="15.75" customHeight="1" x14ac:dyDescent="0.25"/>
    <row r="1102" ht="15.75" customHeight="1" x14ac:dyDescent="0.25"/>
    <row r="1103" ht="15.75" customHeight="1" x14ac:dyDescent="0.25"/>
    <row r="1104" ht="15.75" customHeight="1" x14ac:dyDescent="0.25"/>
    <row r="1105" ht="15.75" customHeight="1" x14ac:dyDescent="0.25"/>
    <row r="1106" ht="15.75" customHeight="1" x14ac:dyDescent="0.25"/>
    <row r="1107" ht="15.75" customHeight="1" x14ac:dyDescent="0.25"/>
    <row r="1108" ht="15.75" customHeight="1" x14ac:dyDescent="0.25"/>
    <row r="1109" ht="15.75" customHeight="1" x14ac:dyDescent="0.25"/>
    <row r="1110" ht="15.75" customHeight="1" x14ac:dyDescent="0.25"/>
    <row r="1111" ht="15.75" customHeight="1" x14ac:dyDescent="0.25"/>
    <row r="1112" ht="15.75" customHeight="1" x14ac:dyDescent="0.25"/>
    <row r="1113" ht="15.75" customHeight="1" x14ac:dyDescent="0.25"/>
    <row r="1114" ht="15.75" customHeight="1" x14ac:dyDescent="0.25"/>
    <row r="1115" ht="15.75" customHeight="1" x14ac:dyDescent="0.25"/>
    <row r="1116" ht="15.75" customHeight="1" x14ac:dyDescent="0.25"/>
    <row r="1117" ht="15.75" customHeight="1" x14ac:dyDescent="0.25"/>
    <row r="1118" ht="15.75" customHeight="1" x14ac:dyDescent="0.25"/>
    <row r="1119" ht="15.75" customHeight="1" x14ac:dyDescent="0.25"/>
    <row r="1120" ht="15.75" customHeight="1" x14ac:dyDescent="0.25"/>
    <row r="1121" ht="15.75" customHeight="1" x14ac:dyDescent="0.25"/>
    <row r="1122" ht="15.75" customHeight="1" x14ac:dyDescent="0.25"/>
    <row r="1123" ht="15.75" customHeight="1" x14ac:dyDescent="0.25"/>
    <row r="1124" ht="15.75" customHeight="1" x14ac:dyDescent="0.25"/>
    <row r="1125" ht="15.75" customHeight="1" x14ac:dyDescent="0.25"/>
    <row r="1126" ht="15.75" customHeight="1" x14ac:dyDescent="0.25"/>
    <row r="1127" ht="15.75" customHeight="1" x14ac:dyDescent="0.25"/>
    <row r="1128" ht="15.75" customHeight="1" x14ac:dyDescent="0.25"/>
    <row r="1129" ht="15.75" customHeight="1" x14ac:dyDescent="0.25"/>
    <row r="1130" ht="15.75" customHeight="1" x14ac:dyDescent="0.25"/>
    <row r="1131" ht="15.75" customHeight="1" x14ac:dyDescent="0.25"/>
    <row r="1132" ht="15.75" customHeight="1" x14ac:dyDescent="0.25"/>
    <row r="1133" ht="15.75" customHeight="1" x14ac:dyDescent="0.25"/>
    <row r="1134" ht="15.75" customHeight="1" x14ac:dyDescent="0.25"/>
    <row r="1135" ht="15.75" customHeight="1" x14ac:dyDescent="0.25"/>
    <row r="1136" ht="15.75" customHeight="1" x14ac:dyDescent="0.25"/>
    <row r="1137" ht="15.75" customHeight="1" x14ac:dyDescent="0.25"/>
    <row r="1138" ht="15.75" customHeight="1" x14ac:dyDescent="0.25"/>
    <row r="1139" ht="15.75" customHeight="1" x14ac:dyDescent="0.25"/>
    <row r="1140" ht="15.75" customHeight="1" x14ac:dyDescent="0.25"/>
    <row r="1141" ht="15.75" customHeight="1" x14ac:dyDescent="0.25"/>
    <row r="1142" ht="15.75" customHeight="1" x14ac:dyDescent="0.25"/>
    <row r="1143" ht="15.75" customHeight="1" x14ac:dyDescent="0.25"/>
    <row r="1144" ht="15.75" customHeight="1" x14ac:dyDescent="0.25"/>
    <row r="1145" ht="15.75" customHeight="1" x14ac:dyDescent="0.25"/>
    <row r="1146" ht="15.75" customHeight="1" x14ac:dyDescent="0.25"/>
    <row r="1147" ht="15.75" customHeight="1" x14ac:dyDescent="0.25"/>
    <row r="1148" ht="15.75" customHeight="1" x14ac:dyDescent="0.25"/>
    <row r="1149" ht="15.75" customHeight="1" x14ac:dyDescent="0.25"/>
    <row r="1150" ht="15.75" customHeight="1" x14ac:dyDescent="0.25"/>
    <row r="1151" ht="15.75" customHeight="1" x14ac:dyDescent="0.25"/>
    <row r="1152" ht="15.75" customHeight="1" x14ac:dyDescent="0.25"/>
    <row r="1153" ht="15.75" customHeight="1" x14ac:dyDescent="0.25"/>
    <row r="1154" ht="15.75" customHeight="1" x14ac:dyDescent="0.25"/>
    <row r="1155" ht="15.75" customHeight="1" x14ac:dyDescent="0.25"/>
    <row r="1156" ht="15.75" customHeight="1" x14ac:dyDescent="0.25"/>
    <row r="1157" ht="15.75" customHeight="1" x14ac:dyDescent="0.25"/>
    <row r="1158" ht="15.75" customHeight="1" x14ac:dyDescent="0.25"/>
    <row r="1159" ht="15.75" customHeight="1" x14ac:dyDescent="0.25"/>
    <row r="1160" ht="15.75" customHeight="1" x14ac:dyDescent="0.25"/>
    <row r="1161" ht="15.75" customHeight="1" x14ac:dyDescent="0.25"/>
    <row r="1162" ht="15.75" customHeight="1" x14ac:dyDescent="0.25"/>
    <row r="1163" ht="15.75" customHeight="1" x14ac:dyDescent="0.25"/>
    <row r="1164" ht="15.75" customHeight="1" x14ac:dyDescent="0.25"/>
    <row r="1165" ht="15.75" customHeight="1" x14ac:dyDescent="0.25"/>
    <row r="1166" ht="15.75" customHeight="1" x14ac:dyDescent="0.25"/>
    <row r="1167" ht="15.75" customHeight="1" x14ac:dyDescent="0.25"/>
    <row r="1168" ht="15.75" customHeight="1" x14ac:dyDescent="0.25"/>
    <row r="1169" ht="15.75" customHeight="1" x14ac:dyDescent="0.25"/>
    <row r="1170" ht="15.75" customHeight="1" x14ac:dyDescent="0.25"/>
    <row r="1171" ht="15.75" customHeight="1" x14ac:dyDescent="0.25"/>
    <row r="1172" ht="15.75" customHeight="1" x14ac:dyDescent="0.25"/>
    <row r="1173" ht="15.75" customHeight="1" x14ac:dyDescent="0.25"/>
    <row r="1174" ht="15.75" customHeight="1" x14ac:dyDescent="0.25"/>
    <row r="1175" ht="15.75" customHeight="1" x14ac:dyDescent="0.25"/>
    <row r="1176" ht="15.75" customHeight="1" x14ac:dyDescent="0.25"/>
    <row r="1177" ht="15.75" customHeight="1" x14ac:dyDescent="0.25"/>
    <row r="1178" ht="15.75" customHeight="1" x14ac:dyDescent="0.25"/>
    <row r="1179" ht="15.75" customHeight="1" x14ac:dyDescent="0.25"/>
    <row r="1180" ht="15.75" customHeight="1" x14ac:dyDescent="0.25"/>
    <row r="1181" ht="15.75" customHeight="1" x14ac:dyDescent="0.25"/>
    <row r="1182" ht="15.75" customHeight="1" x14ac:dyDescent="0.25"/>
    <row r="1183" ht="15.75" customHeight="1" x14ac:dyDescent="0.25"/>
    <row r="1184" ht="15.75" customHeight="1" x14ac:dyDescent="0.25"/>
    <row r="1185" ht="15.75" customHeight="1" x14ac:dyDescent="0.25"/>
    <row r="1186" ht="15.75" customHeight="1" x14ac:dyDescent="0.25"/>
    <row r="1187" ht="15.75" customHeight="1" x14ac:dyDescent="0.25"/>
    <row r="1188" ht="15.75" customHeight="1" x14ac:dyDescent="0.25"/>
    <row r="1189" ht="15.75" customHeight="1" x14ac:dyDescent="0.25"/>
    <row r="1190" ht="15.75" customHeight="1" x14ac:dyDescent="0.25"/>
    <row r="1191" ht="15.75" customHeight="1" x14ac:dyDescent="0.25"/>
    <row r="1192" ht="15.75" customHeight="1" x14ac:dyDescent="0.25"/>
    <row r="1193" ht="15.75" customHeight="1" x14ac:dyDescent="0.25"/>
    <row r="1194" ht="15.75" customHeight="1" x14ac:dyDescent="0.25"/>
    <row r="1195" ht="15.75" customHeight="1" x14ac:dyDescent="0.25"/>
    <row r="1196" ht="15.75" customHeight="1" x14ac:dyDescent="0.25"/>
    <row r="1197" ht="15.75" customHeight="1" x14ac:dyDescent="0.25"/>
    <row r="1198" ht="15.75" customHeight="1" x14ac:dyDescent="0.25"/>
    <row r="1199" ht="15.75" customHeight="1" x14ac:dyDescent="0.25"/>
    <row r="1200" ht="15.75" customHeight="1" x14ac:dyDescent="0.25"/>
    <row r="1201" ht="15.75" customHeight="1" x14ac:dyDescent="0.25"/>
    <row r="1202" ht="15.75" customHeight="1" x14ac:dyDescent="0.25"/>
    <row r="1203" ht="15.75" customHeight="1" x14ac:dyDescent="0.25"/>
    <row r="1204" ht="15.75" customHeight="1" x14ac:dyDescent="0.25"/>
    <row r="1205" ht="15.75" customHeight="1" x14ac:dyDescent="0.25"/>
    <row r="1206" ht="15.75" customHeight="1" x14ac:dyDescent="0.25"/>
    <row r="1207" ht="15.75" customHeight="1" x14ac:dyDescent="0.25"/>
    <row r="1208" ht="15.75" customHeight="1" x14ac:dyDescent="0.25"/>
    <row r="1209" ht="15.75" customHeight="1" x14ac:dyDescent="0.25"/>
    <row r="1210" ht="15.75" customHeight="1" x14ac:dyDescent="0.25"/>
    <row r="1211" ht="15.75" customHeight="1" x14ac:dyDescent="0.25"/>
    <row r="1212" ht="15.75" customHeight="1" x14ac:dyDescent="0.25"/>
    <row r="1213" ht="15.75" customHeight="1" x14ac:dyDescent="0.25"/>
    <row r="1214" ht="15.75" customHeight="1" x14ac:dyDescent="0.25"/>
    <row r="1215" ht="15.75" customHeight="1" x14ac:dyDescent="0.25"/>
    <row r="1216" ht="15.75" customHeight="1" x14ac:dyDescent="0.25"/>
    <row r="1217" ht="15.75" customHeight="1" x14ac:dyDescent="0.25"/>
    <row r="1218" ht="15.75" customHeight="1" x14ac:dyDescent="0.25"/>
    <row r="1219" ht="15.75" customHeight="1" x14ac:dyDescent="0.25"/>
    <row r="1220" ht="15.75" customHeight="1" x14ac:dyDescent="0.25"/>
    <row r="1221" ht="15.75" customHeight="1" x14ac:dyDescent="0.25"/>
    <row r="1222" ht="15.75" customHeight="1" x14ac:dyDescent="0.25"/>
    <row r="1223" ht="15.75" customHeight="1" x14ac:dyDescent="0.25"/>
    <row r="1224" ht="15.75" customHeight="1" x14ac:dyDescent="0.25"/>
    <row r="1225" ht="15.75" customHeight="1" x14ac:dyDescent="0.25"/>
    <row r="1226" ht="15.75" customHeight="1" x14ac:dyDescent="0.25"/>
    <row r="1227" ht="15.75" customHeight="1" x14ac:dyDescent="0.25"/>
    <row r="1228" ht="15.75" customHeight="1" x14ac:dyDescent="0.25"/>
    <row r="1229" ht="15.75" customHeight="1" x14ac:dyDescent="0.25"/>
    <row r="1230" ht="15.75" customHeight="1" x14ac:dyDescent="0.25"/>
    <row r="1231" ht="15.75" customHeight="1" x14ac:dyDescent="0.25"/>
    <row r="1232" ht="15.75" customHeight="1" x14ac:dyDescent="0.25"/>
    <row r="1233" ht="15.75" customHeight="1" x14ac:dyDescent="0.25"/>
    <row r="1234" ht="15.75" customHeight="1" x14ac:dyDescent="0.25"/>
    <row r="1235" ht="15.75" customHeight="1" x14ac:dyDescent="0.25"/>
    <row r="1236" ht="15.75" customHeight="1" x14ac:dyDescent="0.25"/>
    <row r="1237" ht="15.75" customHeight="1" x14ac:dyDescent="0.25"/>
    <row r="1238" ht="15.75" customHeight="1" x14ac:dyDescent="0.25"/>
    <row r="1239" ht="15.75" customHeight="1" x14ac:dyDescent="0.25"/>
    <row r="1240" ht="15.75" customHeight="1" x14ac:dyDescent="0.25"/>
    <row r="1241" ht="15.75" customHeight="1" x14ac:dyDescent="0.25"/>
    <row r="1242" ht="15.75" customHeight="1" x14ac:dyDescent="0.25"/>
    <row r="1243" ht="15.75" customHeight="1" x14ac:dyDescent="0.25"/>
    <row r="1244" ht="15.75" customHeight="1" x14ac:dyDescent="0.25"/>
    <row r="1245" ht="15.75" customHeight="1" x14ac:dyDescent="0.25"/>
    <row r="1246" ht="15.75" customHeight="1" x14ac:dyDescent="0.25"/>
    <row r="1247" ht="15.75" customHeight="1" x14ac:dyDescent="0.25"/>
    <row r="1248" ht="15.75" customHeight="1" x14ac:dyDescent="0.25"/>
    <row r="1249" ht="15.75" customHeight="1" x14ac:dyDescent="0.25"/>
    <row r="1250" ht="15.75" customHeight="1" x14ac:dyDescent="0.25"/>
    <row r="1251" ht="15.75" customHeight="1" x14ac:dyDescent="0.25"/>
    <row r="1252" ht="15.75" customHeight="1" x14ac:dyDescent="0.25"/>
    <row r="1253" ht="15.75" customHeight="1" x14ac:dyDescent="0.25"/>
    <row r="1254" ht="15.75" customHeight="1" x14ac:dyDescent="0.25"/>
    <row r="1255" ht="15.75" customHeight="1" x14ac:dyDescent="0.25"/>
    <row r="1256" ht="15.75" customHeight="1" x14ac:dyDescent="0.25"/>
    <row r="1257" ht="15.75" customHeight="1" x14ac:dyDescent="0.25"/>
    <row r="1258" ht="15.75" customHeight="1" x14ac:dyDescent="0.25"/>
    <row r="1259" ht="15.75" customHeight="1" x14ac:dyDescent="0.25"/>
    <row r="1260" ht="15.75" customHeight="1" x14ac:dyDescent="0.25"/>
    <row r="1261" ht="15.75" customHeight="1" x14ac:dyDescent="0.25"/>
    <row r="1262" ht="15.75" customHeight="1" x14ac:dyDescent="0.25"/>
    <row r="1263" ht="15.75" customHeight="1" x14ac:dyDescent="0.25"/>
    <row r="1264" ht="15.75" customHeight="1" x14ac:dyDescent="0.25"/>
    <row r="1265" ht="15.75" customHeight="1" x14ac:dyDescent="0.25"/>
    <row r="1266" ht="15.75" customHeight="1" x14ac:dyDescent="0.25"/>
    <row r="1267" ht="15.75" customHeight="1" x14ac:dyDescent="0.25"/>
    <row r="1268" ht="15.75" customHeight="1" x14ac:dyDescent="0.25"/>
    <row r="1269" ht="15.75" customHeight="1" x14ac:dyDescent="0.25"/>
    <row r="1270" ht="15.75" customHeight="1" x14ac:dyDescent="0.25"/>
    <row r="1271" ht="15.75" customHeight="1" x14ac:dyDescent="0.25"/>
    <row r="1272" ht="15.75" customHeight="1" x14ac:dyDescent="0.25"/>
    <row r="1273" ht="15.75" customHeight="1" x14ac:dyDescent="0.25"/>
    <row r="1274" ht="15.75" customHeight="1" x14ac:dyDescent="0.25"/>
    <row r="1275" ht="15.75" customHeight="1" x14ac:dyDescent="0.25"/>
    <row r="1276" ht="15.75" customHeight="1" x14ac:dyDescent="0.25"/>
    <row r="1277" ht="15.75" customHeight="1" x14ac:dyDescent="0.25"/>
    <row r="1278" ht="15.75" customHeight="1" x14ac:dyDescent="0.25"/>
    <row r="1279" ht="15.75" customHeight="1" x14ac:dyDescent="0.25"/>
    <row r="1280" ht="15.75" customHeight="1" x14ac:dyDescent="0.25"/>
    <row r="1281" ht="15.75" customHeight="1" x14ac:dyDescent="0.25"/>
    <row r="1282" ht="15.75" customHeight="1" x14ac:dyDescent="0.25"/>
    <row r="1283" ht="15.75" customHeight="1" x14ac:dyDescent="0.25"/>
    <row r="1284" ht="15.75" customHeight="1" x14ac:dyDescent="0.25"/>
    <row r="1285" ht="15.75" customHeight="1" x14ac:dyDescent="0.25"/>
    <row r="1286" ht="15.75" customHeight="1" x14ac:dyDescent="0.25"/>
    <row r="1287" ht="15.75" customHeight="1" x14ac:dyDescent="0.25"/>
    <row r="1288" ht="15.75" customHeight="1" x14ac:dyDescent="0.25"/>
    <row r="1289" ht="15.75" customHeight="1" x14ac:dyDescent="0.25"/>
    <row r="1290" ht="15.75" customHeight="1" x14ac:dyDescent="0.25"/>
    <row r="1291" ht="15.75" customHeight="1" x14ac:dyDescent="0.25"/>
    <row r="1292" ht="15.75" customHeight="1" x14ac:dyDescent="0.25"/>
    <row r="1293" ht="15.75" customHeight="1" x14ac:dyDescent="0.25"/>
    <row r="1294" ht="15.75" customHeight="1" x14ac:dyDescent="0.25"/>
    <row r="1295" ht="15.75" customHeight="1" x14ac:dyDescent="0.25"/>
    <row r="1296" ht="15.75" customHeight="1" x14ac:dyDescent="0.25"/>
    <row r="1297" ht="15.75" customHeight="1" x14ac:dyDescent="0.25"/>
    <row r="1298" ht="15.75" customHeight="1" x14ac:dyDescent="0.25"/>
    <row r="1299" ht="15.75" customHeight="1" x14ac:dyDescent="0.25"/>
    <row r="1300" ht="15.75" customHeight="1" x14ac:dyDescent="0.25"/>
    <row r="1301" ht="15.75" customHeight="1" x14ac:dyDescent="0.25"/>
    <row r="1302" ht="15.75" customHeight="1" x14ac:dyDescent="0.25"/>
    <row r="1303" ht="15.75" customHeight="1" x14ac:dyDescent="0.25"/>
    <row r="1304" ht="15.75" customHeight="1" x14ac:dyDescent="0.25"/>
    <row r="1305" ht="15.75" customHeight="1" x14ac:dyDescent="0.25"/>
    <row r="1306" ht="15.75" customHeight="1" x14ac:dyDescent="0.25"/>
    <row r="1307" ht="15.75" customHeight="1" x14ac:dyDescent="0.25"/>
    <row r="1308" ht="15.75" customHeight="1" x14ac:dyDescent="0.25"/>
    <row r="1309" ht="15.75" customHeight="1" x14ac:dyDescent="0.25"/>
    <row r="1310" ht="15.75" customHeight="1" x14ac:dyDescent="0.25"/>
    <row r="1311" ht="15.75" customHeight="1" x14ac:dyDescent="0.25"/>
    <row r="1312" ht="15.75" customHeight="1" x14ac:dyDescent="0.25"/>
    <row r="1313" ht="15.75" customHeight="1" x14ac:dyDescent="0.25"/>
    <row r="1314" ht="15.75" customHeight="1" x14ac:dyDescent="0.25"/>
    <row r="1315" ht="15.75" customHeight="1" x14ac:dyDescent="0.25"/>
    <row r="1316" ht="15.75" customHeight="1" x14ac:dyDescent="0.25"/>
    <row r="1317" ht="15.75" customHeight="1" x14ac:dyDescent="0.25"/>
    <row r="1318" ht="15.75" customHeight="1" x14ac:dyDescent="0.25"/>
    <row r="1319" ht="15.75" customHeight="1" x14ac:dyDescent="0.25"/>
    <row r="1320" ht="15.75" customHeight="1" x14ac:dyDescent="0.25"/>
    <row r="1321" ht="15.75" customHeight="1" x14ac:dyDescent="0.25"/>
    <row r="1322" ht="15.75" customHeight="1" x14ac:dyDescent="0.25"/>
    <row r="1323" ht="15.75" customHeight="1" x14ac:dyDescent="0.25"/>
    <row r="1324" ht="15.75" customHeight="1" x14ac:dyDescent="0.25"/>
    <row r="1325" ht="15.75" customHeight="1" x14ac:dyDescent="0.25"/>
    <row r="1326" ht="15.75" customHeight="1" x14ac:dyDescent="0.25"/>
    <row r="1327" ht="15.75" customHeight="1" x14ac:dyDescent="0.25"/>
    <row r="1328" ht="15.75" customHeight="1" x14ac:dyDescent="0.25"/>
    <row r="1329" ht="15.75" customHeight="1" x14ac:dyDescent="0.25"/>
    <row r="1330" ht="15.75" customHeight="1" x14ac:dyDescent="0.25"/>
    <row r="1331" ht="15.75" customHeight="1" x14ac:dyDescent="0.25"/>
    <row r="1332" ht="15.75" customHeight="1" x14ac:dyDescent="0.25"/>
    <row r="1333" ht="15.75" customHeight="1" x14ac:dyDescent="0.25"/>
    <row r="1334" ht="15.75" customHeight="1" x14ac:dyDescent="0.25"/>
    <row r="1335" ht="15.75" customHeight="1" x14ac:dyDescent="0.25"/>
    <row r="1336" ht="15.75" customHeight="1" x14ac:dyDescent="0.25"/>
    <row r="1337" ht="15.75" customHeight="1" x14ac:dyDescent="0.25"/>
    <row r="1338" ht="15.75" customHeight="1" x14ac:dyDescent="0.25"/>
    <row r="1339" ht="15.75" customHeight="1" x14ac:dyDescent="0.25"/>
    <row r="1340" ht="15.75" customHeight="1" x14ac:dyDescent="0.25"/>
    <row r="1341" ht="15.75" customHeight="1" x14ac:dyDescent="0.25"/>
    <row r="1342" ht="15.75" customHeight="1" x14ac:dyDescent="0.25"/>
    <row r="1343" ht="15.75" customHeight="1" x14ac:dyDescent="0.25"/>
    <row r="1344" ht="15.75" customHeight="1" x14ac:dyDescent="0.25"/>
    <row r="1345" ht="15.75" customHeight="1" x14ac:dyDescent="0.25"/>
    <row r="1346" ht="15.75" customHeight="1" x14ac:dyDescent="0.25"/>
    <row r="1347" ht="15.75" customHeight="1" x14ac:dyDescent="0.25"/>
    <row r="1348" ht="15.75" customHeight="1" x14ac:dyDescent="0.25"/>
    <row r="1349" ht="15.75" customHeight="1" x14ac:dyDescent="0.25"/>
    <row r="1350" ht="15.75" customHeight="1" x14ac:dyDescent="0.25"/>
    <row r="1351" ht="15.75" customHeight="1" x14ac:dyDescent="0.25"/>
  </sheetData>
  <phoneticPr fontId="6" type="noConversion"/>
  <pageMargins left="0.75" right="0.75" top="1" bottom="1" header="0" footer="0"/>
  <pageSetup orientation="landscape" r:id="rId1"/>
  <tableParts count="1">
    <tablePart r:id="rId2"/>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C875ED-71C5-47C2-9455-44F52C9C0E61}">
  <dimension ref="A3:H26"/>
  <sheetViews>
    <sheetView workbookViewId="0">
      <selection activeCell="F12" sqref="F12"/>
    </sheetView>
  </sheetViews>
  <sheetFormatPr baseColWidth="10" defaultRowHeight="15" x14ac:dyDescent="0.25"/>
  <cols>
    <col min="1" max="1" width="17.5703125" bestFit="1" customWidth="1"/>
    <col min="2" max="2" width="23.140625" bestFit="1" customWidth="1"/>
    <col min="3" max="3" width="28.140625" bestFit="1" customWidth="1"/>
    <col min="4" max="4" width="17.5703125" bestFit="1" customWidth="1"/>
    <col min="5" max="5" width="23.140625" bestFit="1" customWidth="1"/>
    <col min="7" max="7" width="20.7109375" bestFit="1" customWidth="1"/>
    <col min="8" max="8" width="12.28515625" bestFit="1" customWidth="1"/>
  </cols>
  <sheetData>
    <row r="3" spans="1:8" x14ac:dyDescent="0.25">
      <c r="A3" s="43" t="s">
        <v>371</v>
      </c>
      <c r="B3" t="s">
        <v>373</v>
      </c>
      <c r="C3" t="s">
        <v>399</v>
      </c>
      <c r="D3" s="43" t="s">
        <v>371</v>
      </c>
      <c r="E3" t="s">
        <v>373</v>
      </c>
      <c r="G3" s="59" t="s">
        <v>389</v>
      </c>
      <c r="H3" s="31">
        <f>B9</f>
        <v>8647405</v>
      </c>
    </row>
    <row r="4" spans="1:8" x14ac:dyDescent="0.25">
      <c r="A4" s="44" t="s">
        <v>240</v>
      </c>
      <c r="B4" s="11">
        <v>1316147</v>
      </c>
      <c r="C4" s="11">
        <v>438715.66666666669</v>
      </c>
      <c r="D4" s="44" t="s">
        <v>129</v>
      </c>
      <c r="E4" s="11">
        <v>8647405</v>
      </c>
      <c r="G4" s="59" t="s">
        <v>390</v>
      </c>
      <c r="H4" s="58">
        <v>-3500000</v>
      </c>
    </row>
    <row r="5" spans="1:8" x14ac:dyDescent="0.25">
      <c r="A5" s="44" t="s">
        <v>236</v>
      </c>
      <c r="B5" s="11">
        <v>4414688</v>
      </c>
      <c r="C5" s="11">
        <v>441468.8</v>
      </c>
      <c r="D5" s="44" t="s">
        <v>372</v>
      </c>
      <c r="E5" s="11">
        <v>8647405</v>
      </c>
      <c r="G5" s="59" t="s">
        <v>391</v>
      </c>
      <c r="H5" s="58">
        <v>-18000000</v>
      </c>
    </row>
    <row r="6" spans="1:8" x14ac:dyDescent="0.25">
      <c r="A6" s="44" t="s">
        <v>238</v>
      </c>
      <c r="B6" s="11">
        <v>374164</v>
      </c>
      <c r="C6" s="11">
        <v>374164</v>
      </c>
      <c r="G6" s="59" t="s">
        <v>392</v>
      </c>
      <c r="H6" s="58">
        <v>-4200000</v>
      </c>
    </row>
    <row r="7" spans="1:8" x14ac:dyDescent="0.25">
      <c r="A7" s="44" t="s">
        <v>351</v>
      </c>
      <c r="B7" s="11">
        <v>752390</v>
      </c>
      <c r="C7" s="11">
        <v>376195</v>
      </c>
      <c r="G7" s="59" t="s">
        <v>393</v>
      </c>
      <c r="H7" s="31">
        <f>SUM(H3:H6)</f>
        <v>-17052595</v>
      </c>
    </row>
    <row r="8" spans="1:8" x14ac:dyDescent="0.25">
      <c r="A8" s="44" t="s">
        <v>237</v>
      </c>
      <c r="B8" s="11">
        <v>1790016</v>
      </c>
      <c r="C8" s="11">
        <v>447504</v>
      </c>
    </row>
    <row r="9" spans="1:8" x14ac:dyDescent="0.25">
      <c r="A9" s="44" t="s">
        <v>372</v>
      </c>
      <c r="B9" s="11">
        <v>8647405</v>
      </c>
      <c r="C9" s="11">
        <v>432370.25</v>
      </c>
    </row>
    <row r="15" spans="1:8" x14ac:dyDescent="0.25">
      <c r="A15" s="43" t="s">
        <v>371</v>
      </c>
      <c r="B15" t="s">
        <v>373</v>
      </c>
    </row>
    <row r="16" spans="1:8" x14ac:dyDescent="0.25">
      <c r="A16" s="44" t="s">
        <v>374</v>
      </c>
      <c r="B16" s="11">
        <v>838188</v>
      </c>
    </row>
    <row r="17" spans="1:2" x14ac:dyDescent="0.25">
      <c r="A17" s="44" t="s">
        <v>375</v>
      </c>
      <c r="B17" s="11">
        <v>458038</v>
      </c>
    </row>
    <row r="18" spans="1:2" x14ac:dyDescent="0.25">
      <c r="A18" s="44" t="s">
        <v>376</v>
      </c>
      <c r="B18" s="11">
        <v>599816</v>
      </c>
    </row>
    <row r="19" spans="1:2" x14ac:dyDescent="0.25">
      <c r="A19" s="44" t="s">
        <v>377</v>
      </c>
      <c r="B19" s="11">
        <v>127804</v>
      </c>
    </row>
    <row r="20" spans="1:2" x14ac:dyDescent="0.25">
      <c r="A20" s="44" t="s">
        <v>378</v>
      </c>
      <c r="B20" s="11">
        <v>702365</v>
      </c>
    </row>
    <row r="21" spans="1:2" x14ac:dyDescent="0.25">
      <c r="A21" s="44" t="s">
        <v>379</v>
      </c>
      <c r="B21" s="11">
        <v>1334898</v>
      </c>
    </row>
    <row r="22" spans="1:2" x14ac:dyDescent="0.25">
      <c r="A22" s="44" t="s">
        <v>380</v>
      </c>
      <c r="B22" s="11">
        <v>848013</v>
      </c>
    </row>
    <row r="23" spans="1:2" x14ac:dyDescent="0.25">
      <c r="A23" s="44" t="s">
        <v>381</v>
      </c>
      <c r="B23" s="11">
        <v>1108140</v>
      </c>
    </row>
    <row r="24" spans="1:2" x14ac:dyDescent="0.25">
      <c r="A24" s="44" t="s">
        <v>382</v>
      </c>
      <c r="B24" s="11">
        <v>1303918</v>
      </c>
    </row>
    <row r="25" spans="1:2" x14ac:dyDescent="0.25">
      <c r="A25" s="44" t="s">
        <v>383</v>
      </c>
      <c r="B25" s="11">
        <v>1326225</v>
      </c>
    </row>
    <row r="26" spans="1:2" x14ac:dyDescent="0.25">
      <c r="A26" s="44" t="s">
        <v>372</v>
      </c>
      <c r="B26" s="11">
        <v>8647405</v>
      </c>
    </row>
  </sheetData>
  <conditionalFormatting pivot="1" sqref="B4:B8">
    <cfRule type="colorScale" priority="1">
      <colorScale>
        <cfvo type="min"/>
        <cfvo type="percentile" val="50"/>
        <cfvo type="max"/>
        <color rgb="FFF8696B"/>
        <color rgb="FFFFEB84"/>
        <color rgb="FF63BE7B"/>
      </colorScale>
    </cfRule>
  </conditionalFormatting>
  <pageMargins left="0.7" right="0.7" top="0.75" bottom="0.75" header="0.3" footer="0.3"/>
  <drawing r:id="rId4"/>
  <extLst>
    <ext xmlns:x14="http://schemas.microsoft.com/office/spreadsheetml/2009/9/main" uri="{A8765BA9-456A-4dab-B4F3-ACF838C121DE}">
      <x14:slicerList>
        <x14:slicer r:id="rId5"/>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theme="4" tint="-0.249977111117893"/>
  </sheetPr>
  <dimension ref="A1:C1000"/>
  <sheetViews>
    <sheetView workbookViewId="0">
      <selection activeCell="G7" sqref="G7"/>
    </sheetView>
  </sheetViews>
  <sheetFormatPr baseColWidth="10" defaultColWidth="14.42578125" defaultRowHeight="15" customHeight="1" x14ac:dyDescent="0.25"/>
  <cols>
    <col min="1" max="1" width="18.28515625" customWidth="1"/>
    <col min="2" max="2" width="21.85546875" customWidth="1"/>
    <col min="3" max="3" width="19.85546875" customWidth="1"/>
    <col min="4" max="25" width="8.7109375" customWidth="1"/>
  </cols>
  <sheetData>
    <row r="1" spans="1:3" x14ac:dyDescent="0.25">
      <c r="A1" s="1" t="s">
        <v>131</v>
      </c>
      <c r="B1" s="1" t="s">
        <v>132</v>
      </c>
      <c r="C1" s="1" t="s">
        <v>133</v>
      </c>
    </row>
    <row r="2" spans="1:3" x14ac:dyDescent="0.25">
      <c r="A2" s="2" t="s">
        <v>8</v>
      </c>
      <c r="B2" s="1" t="s">
        <v>134</v>
      </c>
      <c r="C2" s="1" t="s">
        <v>238</v>
      </c>
    </row>
    <row r="3" spans="1:3" x14ac:dyDescent="0.25">
      <c r="A3" s="2" t="s">
        <v>21</v>
      </c>
      <c r="B3" s="1" t="s">
        <v>135</v>
      </c>
      <c r="C3" s="1" t="s">
        <v>236</v>
      </c>
    </row>
    <row r="4" spans="1:3" x14ac:dyDescent="0.25">
      <c r="A4" s="2" t="s">
        <v>11</v>
      </c>
      <c r="B4" s="1" t="s">
        <v>136</v>
      </c>
      <c r="C4" s="1" t="s">
        <v>236</v>
      </c>
    </row>
    <row r="5" spans="1:3" x14ac:dyDescent="0.25">
      <c r="A5" s="2" t="s">
        <v>15</v>
      </c>
      <c r="B5" s="1" t="s">
        <v>137</v>
      </c>
      <c r="C5" s="1" t="s">
        <v>236</v>
      </c>
    </row>
    <row r="6" spans="1:3" x14ac:dyDescent="0.25">
      <c r="A6" s="2" t="s">
        <v>13</v>
      </c>
      <c r="B6" s="1" t="s">
        <v>138</v>
      </c>
      <c r="C6" s="1" t="s">
        <v>238</v>
      </c>
    </row>
    <row r="7" spans="1:3" ht="15" customHeight="1" x14ac:dyDescent="0.25">
      <c r="A7" s="2" t="s">
        <v>141</v>
      </c>
      <c r="B7" s="10" t="s">
        <v>239</v>
      </c>
      <c r="C7" s="1" t="s">
        <v>238</v>
      </c>
    </row>
    <row r="8" spans="1:3" ht="15" customHeight="1" x14ac:dyDescent="0.25">
      <c r="A8" s="2" t="s">
        <v>142</v>
      </c>
      <c r="B8" s="10" t="s">
        <v>241</v>
      </c>
      <c r="C8" s="1" t="s">
        <v>240</v>
      </c>
    </row>
    <row r="9" spans="1:3" ht="15" customHeight="1" x14ac:dyDescent="0.25">
      <c r="A9" s="2" t="s">
        <v>143</v>
      </c>
      <c r="B9" s="10" t="s">
        <v>242</v>
      </c>
      <c r="C9" s="1" t="s">
        <v>236</v>
      </c>
    </row>
    <row r="10" spans="1:3" ht="15" customHeight="1" x14ac:dyDescent="0.25">
      <c r="A10" s="2" t="s">
        <v>144</v>
      </c>
      <c r="B10" s="10" t="s">
        <v>243</v>
      </c>
      <c r="C10" s="1" t="s">
        <v>237</v>
      </c>
    </row>
    <row r="11" spans="1:3" ht="15" customHeight="1" x14ac:dyDescent="0.25">
      <c r="A11" s="2" t="s">
        <v>145</v>
      </c>
      <c r="B11" s="10" t="s">
        <v>244</v>
      </c>
      <c r="C11" s="1" t="s">
        <v>236</v>
      </c>
    </row>
    <row r="12" spans="1:3" ht="15" customHeight="1" x14ac:dyDescent="0.25">
      <c r="A12" s="2" t="s">
        <v>146</v>
      </c>
      <c r="B12" s="10" t="s">
        <v>245</v>
      </c>
      <c r="C12" s="1" t="s">
        <v>236</v>
      </c>
    </row>
    <row r="13" spans="1:3" ht="15" customHeight="1" x14ac:dyDescent="0.25">
      <c r="A13" s="2" t="s">
        <v>147</v>
      </c>
      <c r="B13" s="10" t="s">
        <v>246</v>
      </c>
      <c r="C13" s="1" t="s">
        <v>237</v>
      </c>
    </row>
    <row r="14" spans="1:3" ht="15" customHeight="1" x14ac:dyDescent="0.25">
      <c r="A14" s="2" t="s">
        <v>148</v>
      </c>
      <c r="B14" s="10" t="s">
        <v>247</v>
      </c>
      <c r="C14" s="1" t="s">
        <v>236</v>
      </c>
    </row>
    <row r="15" spans="1:3" ht="15" customHeight="1" x14ac:dyDescent="0.25">
      <c r="A15" s="2" t="s">
        <v>149</v>
      </c>
      <c r="B15" s="10" t="s">
        <v>248</v>
      </c>
      <c r="C15" s="1" t="s">
        <v>236</v>
      </c>
    </row>
    <row r="16" spans="1:3" ht="15" customHeight="1" x14ac:dyDescent="0.25">
      <c r="A16" s="2" t="s">
        <v>150</v>
      </c>
      <c r="B16" s="10" t="s">
        <v>249</v>
      </c>
      <c r="C16" s="1" t="s">
        <v>238</v>
      </c>
    </row>
    <row r="17" spans="1:3" ht="15" customHeight="1" x14ac:dyDescent="0.25">
      <c r="A17" s="2" t="s">
        <v>151</v>
      </c>
      <c r="B17" s="10" t="s">
        <v>250</v>
      </c>
      <c r="C17" s="1" t="s">
        <v>237</v>
      </c>
    </row>
    <row r="18" spans="1:3" ht="15" customHeight="1" x14ac:dyDescent="0.25">
      <c r="A18" s="2" t="s">
        <v>152</v>
      </c>
      <c r="B18" s="10" t="s">
        <v>251</v>
      </c>
      <c r="C18" s="1" t="s">
        <v>236</v>
      </c>
    </row>
    <row r="19" spans="1:3" ht="15" customHeight="1" x14ac:dyDescent="0.25">
      <c r="A19" s="2" t="s">
        <v>153</v>
      </c>
      <c r="B19" s="10" t="s">
        <v>252</v>
      </c>
      <c r="C19" s="1" t="s">
        <v>237</v>
      </c>
    </row>
    <row r="20" spans="1:3" ht="15" customHeight="1" x14ac:dyDescent="0.25">
      <c r="A20" s="2" t="s">
        <v>154</v>
      </c>
      <c r="B20" s="10" t="s">
        <v>253</v>
      </c>
      <c r="C20" s="1" t="s">
        <v>240</v>
      </c>
    </row>
    <row r="21" spans="1:3" ht="15.75" customHeight="1" x14ac:dyDescent="0.25">
      <c r="A21" s="2" t="s">
        <v>155</v>
      </c>
      <c r="B21" s="10" t="s">
        <v>254</v>
      </c>
      <c r="C21" s="1" t="s">
        <v>236</v>
      </c>
    </row>
    <row r="22" spans="1:3" ht="15.75" customHeight="1" x14ac:dyDescent="0.25">
      <c r="A22" s="2" t="s">
        <v>156</v>
      </c>
      <c r="B22" s="10" t="s">
        <v>255</v>
      </c>
      <c r="C22" s="1" t="s">
        <v>240</v>
      </c>
    </row>
    <row r="23" spans="1:3" ht="15.75" customHeight="1" x14ac:dyDescent="0.25">
      <c r="A23" s="2" t="s">
        <v>157</v>
      </c>
      <c r="B23" s="10" t="s">
        <v>256</v>
      </c>
      <c r="C23" s="1" t="s">
        <v>238</v>
      </c>
    </row>
    <row r="24" spans="1:3" ht="15.75" customHeight="1" x14ac:dyDescent="0.25">
      <c r="A24" s="2" t="s">
        <v>158</v>
      </c>
      <c r="B24" s="10" t="s">
        <v>257</v>
      </c>
      <c r="C24" s="1" t="s">
        <v>236</v>
      </c>
    </row>
    <row r="25" spans="1:3" ht="15.75" customHeight="1" x14ac:dyDescent="0.25">
      <c r="A25" s="2" t="s">
        <v>159</v>
      </c>
      <c r="B25" s="10" t="s">
        <v>258</v>
      </c>
      <c r="C25" s="1" t="s">
        <v>236</v>
      </c>
    </row>
    <row r="26" spans="1:3" ht="15.75" customHeight="1" x14ac:dyDescent="0.25">
      <c r="A26" s="2" t="s">
        <v>160</v>
      </c>
      <c r="B26" s="10" t="s">
        <v>259</v>
      </c>
      <c r="C26" s="1" t="s">
        <v>351</v>
      </c>
    </row>
    <row r="27" spans="1:3" ht="15.75" customHeight="1" x14ac:dyDescent="0.25">
      <c r="A27" s="2" t="s">
        <v>161</v>
      </c>
      <c r="B27" s="10" t="s">
        <v>260</v>
      </c>
      <c r="C27" s="1" t="s">
        <v>236</v>
      </c>
    </row>
    <row r="28" spans="1:3" ht="15.75" customHeight="1" x14ac:dyDescent="0.25">
      <c r="A28" s="2" t="s">
        <v>162</v>
      </c>
      <c r="B28" s="10" t="s">
        <v>261</v>
      </c>
      <c r="C28" s="1" t="s">
        <v>236</v>
      </c>
    </row>
    <row r="29" spans="1:3" ht="15.75" customHeight="1" x14ac:dyDescent="0.25">
      <c r="A29" s="2" t="s">
        <v>163</v>
      </c>
      <c r="B29" s="10" t="s">
        <v>262</v>
      </c>
      <c r="C29" s="1" t="s">
        <v>236</v>
      </c>
    </row>
    <row r="30" spans="1:3" ht="15.75" customHeight="1" x14ac:dyDescent="0.25">
      <c r="A30" s="2" t="s">
        <v>164</v>
      </c>
      <c r="B30" s="10" t="s">
        <v>263</v>
      </c>
      <c r="C30" s="1" t="s">
        <v>240</v>
      </c>
    </row>
    <row r="31" spans="1:3" ht="15.75" customHeight="1" x14ac:dyDescent="0.25">
      <c r="A31" s="2" t="s">
        <v>165</v>
      </c>
      <c r="B31" s="10" t="s">
        <v>264</v>
      </c>
      <c r="C31" s="1" t="s">
        <v>238</v>
      </c>
    </row>
    <row r="32" spans="1:3" ht="15.75" customHeight="1" x14ac:dyDescent="0.25">
      <c r="A32" s="2" t="s">
        <v>166</v>
      </c>
      <c r="B32" s="10" t="s">
        <v>265</v>
      </c>
      <c r="C32" s="1" t="s">
        <v>240</v>
      </c>
    </row>
    <row r="33" spans="1:3" ht="15.75" customHeight="1" x14ac:dyDescent="0.25">
      <c r="A33" s="2" t="s">
        <v>167</v>
      </c>
      <c r="B33" s="10" t="s">
        <v>266</v>
      </c>
      <c r="C33" s="1" t="s">
        <v>238</v>
      </c>
    </row>
    <row r="34" spans="1:3" ht="15.75" customHeight="1" x14ac:dyDescent="0.25">
      <c r="A34" s="2" t="s">
        <v>168</v>
      </c>
      <c r="B34" s="10" t="s">
        <v>267</v>
      </c>
      <c r="C34" s="1" t="s">
        <v>237</v>
      </c>
    </row>
    <row r="35" spans="1:3" ht="15.75" customHeight="1" x14ac:dyDescent="0.25">
      <c r="A35" s="2" t="s">
        <v>169</v>
      </c>
      <c r="B35" s="10" t="s">
        <v>268</v>
      </c>
      <c r="C35" s="1" t="s">
        <v>351</v>
      </c>
    </row>
    <row r="36" spans="1:3" ht="15.75" customHeight="1" x14ac:dyDescent="0.25">
      <c r="A36" s="2" t="s">
        <v>170</v>
      </c>
      <c r="B36" s="10" t="s">
        <v>269</v>
      </c>
      <c r="C36" s="1" t="s">
        <v>237</v>
      </c>
    </row>
    <row r="37" spans="1:3" ht="15.75" customHeight="1" x14ac:dyDescent="0.25">
      <c r="A37" s="2" t="s">
        <v>171</v>
      </c>
      <c r="B37" s="10" t="s">
        <v>270</v>
      </c>
      <c r="C37" s="1" t="s">
        <v>237</v>
      </c>
    </row>
    <row r="38" spans="1:3" ht="15.75" customHeight="1" x14ac:dyDescent="0.25">
      <c r="A38" s="2" t="s">
        <v>172</v>
      </c>
      <c r="B38" s="10" t="s">
        <v>271</v>
      </c>
      <c r="C38" s="1" t="s">
        <v>240</v>
      </c>
    </row>
    <row r="39" spans="1:3" ht="15.75" customHeight="1" x14ac:dyDescent="0.25">
      <c r="A39" s="2" t="s">
        <v>173</v>
      </c>
      <c r="B39" s="10" t="s">
        <v>272</v>
      </c>
      <c r="C39" s="1" t="s">
        <v>238</v>
      </c>
    </row>
    <row r="40" spans="1:3" ht="15.75" customHeight="1" x14ac:dyDescent="0.25">
      <c r="A40" s="2" t="s">
        <v>174</v>
      </c>
      <c r="B40" s="10" t="s">
        <v>273</v>
      </c>
      <c r="C40" s="1" t="s">
        <v>240</v>
      </c>
    </row>
    <row r="41" spans="1:3" ht="15.75" customHeight="1" x14ac:dyDescent="0.25">
      <c r="A41" s="2" t="s">
        <v>175</v>
      </c>
      <c r="B41" s="10" t="s">
        <v>274</v>
      </c>
      <c r="C41" s="1" t="s">
        <v>237</v>
      </c>
    </row>
    <row r="42" spans="1:3" ht="15.75" customHeight="1" x14ac:dyDescent="0.25">
      <c r="A42" s="2" t="s">
        <v>176</v>
      </c>
      <c r="B42" s="10" t="s">
        <v>275</v>
      </c>
      <c r="C42" s="1" t="s">
        <v>238</v>
      </c>
    </row>
    <row r="43" spans="1:3" ht="15.75" customHeight="1" x14ac:dyDescent="0.25">
      <c r="A43" s="2" t="s">
        <v>177</v>
      </c>
      <c r="B43" s="10" t="s">
        <v>276</v>
      </c>
      <c r="C43" s="1" t="s">
        <v>236</v>
      </c>
    </row>
    <row r="44" spans="1:3" ht="15.75" customHeight="1" x14ac:dyDescent="0.25">
      <c r="A44" s="2" t="s">
        <v>178</v>
      </c>
      <c r="B44" s="10" t="s">
        <v>277</v>
      </c>
      <c r="C44" s="1" t="s">
        <v>236</v>
      </c>
    </row>
    <row r="45" spans="1:3" ht="15.75" customHeight="1" x14ac:dyDescent="0.25">
      <c r="A45" s="2" t="s">
        <v>179</v>
      </c>
      <c r="B45" s="10" t="s">
        <v>278</v>
      </c>
      <c r="C45" s="1" t="s">
        <v>236</v>
      </c>
    </row>
    <row r="46" spans="1:3" ht="15.75" customHeight="1" x14ac:dyDescent="0.25">
      <c r="A46" s="2" t="s">
        <v>180</v>
      </c>
      <c r="B46" s="10" t="s">
        <v>279</v>
      </c>
      <c r="C46" s="1" t="s">
        <v>236</v>
      </c>
    </row>
    <row r="47" spans="1:3" ht="15.75" customHeight="1" x14ac:dyDescent="0.25">
      <c r="A47" s="2" t="s">
        <v>181</v>
      </c>
      <c r="B47" s="10" t="s">
        <v>280</v>
      </c>
      <c r="C47" s="1" t="s">
        <v>236</v>
      </c>
    </row>
    <row r="48" spans="1:3" ht="15.75" customHeight="1" x14ac:dyDescent="0.25">
      <c r="A48" s="2" t="s">
        <v>182</v>
      </c>
      <c r="B48" s="10" t="s">
        <v>281</v>
      </c>
      <c r="C48" s="1" t="s">
        <v>236</v>
      </c>
    </row>
    <row r="49" spans="1:3" ht="15.75" customHeight="1" x14ac:dyDescent="0.25">
      <c r="A49" s="2" t="s">
        <v>183</v>
      </c>
      <c r="B49" s="10" t="s">
        <v>282</v>
      </c>
      <c r="C49" s="1" t="s">
        <v>236</v>
      </c>
    </row>
    <row r="50" spans="1:3" ht="15.75" customHeight="1" x14ac:dyDescent="0.25">
      <c r="A50" s="2" t="s">
        <v>184</v>
      </c>
      <c r="B50" s="10" t="s">
        <v>283</v>
      </c>
      <c r="C50" s="1" t="s">
        <v>238</v>
      </c>
    </row>
    <row r="51" spans="1:3" ht="15.75" customHeight="1" x14ac:dyDescent="0.25">
      <c r="A51" s="2" t="s">
        <v>185</v>
      </c>
      <c r="B51" s="10" t="s">
        <v>284</v>
      </c>
      <c r="C51" s="1" t="s">
        <v>237</v>
      </c>
    </row>
    <row r="52" spans="1:3" ht="15.75" customHeight="1" x14ac:dyDescent="0.25">
      <c r="A52" s="2" t="s">
        <v>186</v>
      </c>
      <c r="B52" s="10" t="s">
        <v>285</v>
      </c>
      <c r="C52" s="1" t="s">
        <v>237</v>
      </c>
    </row>
    <row r="53" spans="1:3" ht="15.75" customHeight="1" x14ac:dyDescent="0.25">
      <c r="A53" s="2" t="s">
        <v>187</v>
      </c>
      <c r="B53" s="10" t="s">
        <v>286</v>
      </c>
      <c r="C53" s="1" t="s">
        <v>236</v>
      </c>
    </row>
    <row r="54" spans="1:3" ht="15.75" customHeight="1" x14ac:dyDescent="0.25">
      <c r="A54" s="2" t="s">
        <v>188</v>
      </c>
      <c r="B54" s="10" t="s">
        <v>287</v>
      </c>
      <c r="C54" s="1" t="s">
        <v>236</v>
      </c>
    </row>
    <row r="55" spans="1:3" ht="15.75" customHeight="1" x14ac:dyDescent="0.25">
      <c r="A55" s="2" t="s">
        <v>189</v>
      </c>
      <c r="B55" s="10" t="s">
        <v>288</v>
      </c>
      <c r="C55" s="1" t="s">
        <v>351</v>
      </c>
    </row>
    <row r="56" spans="1:3" ht="15.75" customHeight="1" x14ac:dyDescent="0.25">
      <c r="A56" s="2" t="s">
        <v>190</v>
      </c>
      <c r="B56" s="10" t="s">
        <v>289</v>
      </c>
      <c r="C56" s="1" t="s">
        <v>238</v>
      </c>
    </row>
    <row r="57" spans="1:3" ht="15.75" customHeight="1" x14ac:dyDescent="0.25">
      <c r="A57" s="2" t="s">
        <v>191</v>
      </c>
      <c r="B57" s="10" t="s">
        <v>290</v>
      </c>
      <c r="C57" s="1" t="s">
        <v>238</v>
      </c>
    </row>
    <row r="58" spans="1:3" ht="15.75" customHeight="1" x14ac:dyDescent="0.25">
      <c r="A58" s="2" t="s">
        <v>192</v>
      </c>
      <c r="B58" s="10" t="s">
        <v>291</v>
      </c>
      <c r="C58" s="1" t="s">
        <v>236</v>
      </c>
    </row>
    <row r="59" spans="1:3" ht="15.75" customHeight="1" x14ac:dyDescent="0.25">
      <c r="A59" s="2" t="s">
        <v>193</v>
      </c>
      <c r="B59" s="10" t="s">
        <v>292</v>
      </c>
      <c r="C59" s="1" t="s">
        <v>238</v>
      </c>
    </row>
    <row r="60" spans="1:3" ht="15.75" customHeight="1" x14ac:dyDescent="0.25">
      <c r="A60" s="2" t="s">
        <v>194</v>
      </c>
      <c r="B60" s="10" t="s">
        <v>293</v>
      </c>
      <c r="C60" s="1" t="s">
        <v>236</v>
      </c>
    </row>
    <row r="61" spans="1:3" ht="15.75" customHeight="1" x14ac:dyDescent="0.25">
      <c r="A61" s="2" t="s">
        <v>195</v>
      </c>
      <c r="B61" s="10" t="s">
        <v>294</v>
      </c>
      <c r="C61" s="1" t="s">
        <v>237</v>
      </c>
    </row>
    <row r="62" spans="1:3" ht="15.75" customHeight="1" x14ac:dyDescent="0.25">
      <c r="A62" s="2" t="s">
        <v>196</v>
      </c>
      <c r="B62" s="10" t="s">
        <v>295</v>
      </c>
      <c r="C62" s="1" t="s">
        <v>351</v>
      </c>
    </row>
    <row r="63" spans="1:3" ht="15.75" customHeight="1" x14ac:dyDescent="0.25">
      <c r="A63" s="2" t="s">
        <v>197</v>
      </c>
      <c r="B63" s="10" t="s">
        <v>296</v>
      </c>
      <c r="C63" s="1" t="s">
        <v>238</v>
      </c>
    </row>
    <row r="64" spans="1:3" ht="15.75" customHeight="1" x14ac:dyDescent="0.25">
      <c r="A64" s="2" t="s">
        <v>198</v>
      </c>
      <c r="B64" s="10" t="s">
        <v>297</v>
      </c>
      <c r="C64" s="1" t="s">
        <v>237</v>
      </c>
    </row>
    <row r="65" spans="1:3" ht="15.75" customHeight="1" x14ac:dyDescent="0.25">
      <c r="A65" s="2" t="s">
        <v>199</v>
      </c>
      <c r="B65" s="10" t="s">
        <v>298</v>
      </c>
      <c r="C65" s="1" t="s">
        <v>238</v>
      </c>
    </row>
    <row r="66" spans="1:3" ht="15.75" customHeight="1" x14ac:dyDescent="0.25">
      <c r="A66" s="2" t="s">
        <v>200</v>
      </c>
      <c r="B66" s="10" t="s">
        <v>299</v>
      </c>
      <c r="C66" s="1" t="s">
        <v>240</v>
      </c>
    </row>
    <row r="67" spans="1:3" ht="15.75" customHeight="1" x14ac:dyDescent="0.25">
      <c r="A67" s="2" t="s">
        <v>201</v>
      </c>
      <c r="B67" s="10" t="s">
        <v>300</v>
      </c>
      <c r="C67" s="1" t="s">
        <v>238</v>
      </c>
    </row>
    <row r="68" spans="1:3" ht="15.75" customHeight="1" x14ac:dyDescent="0.25">
      <c r="A68" s="2" t="s">
        <v>202</v>
      </c>
      <c r="B68" s="10" t="s">
        <v>301</v>
      </c>
      <c r="C68" s="1" t="s">
        <v>236</v>
      </c>
    </row>
    <row r="69" spans="1:3" ht="15.75" customHeight="1" x14ac:dyDescent="0.25">
      <c r="A69" s="2" t="s">
        <v>203</v>
      </c>
      <c r="B69" s="10" t="s">
        <v>302</v>
      </c>
      <c r="C69" s="1" t="s">
        <v>236</v>
      </c>
    </row>
    <row r="70" spans="1:3" ht="15.75" customHeight="1" x14ac:dyDescent="0.25">
      <c r="A70" s="2" t="s">
        <v>204</v>
      </c>
      <c r="B70" s="10" t="s">
        <v>303</v>
      </c>
      <c r="C70" s="1" t="s">
        <v>236</v>
      </c>
    </row>
    <row r="71" spans="1:3" ht="15.75" customHeight="1" x14ac:dyDescent="0.25">
      <c r="A71" s="2" t="s">
        <v>205</v>
      </c>
      <c r="B71" s="10" t="s">
        <v>304</v>
      </c>
      <c r="C71" s="1" t="s">
        <v>236</v>
      </c>
    </row>
    <row r="72" spans="1:3" ht="15.75" customHeight="1" x14ac:dyDescent="0.25">
      <c r="A72" s="2" t="s">
        <v>206</v>
      </c>
      <c r="B72" s="10" t="s">
        <v>305</v>
      </c>
      <c r="C72" s="1" t="s">
        <v>236</v>
      </c>
    </row>
    <row r="73" spans="1:3" ht="15.75" customHeight="1" x14ac:dyDescent="0.25">
      <c r="A73" s="2" t="s">
        <v>207</v>
      </c>
      <c r="B73" s="10" t="s">
        <v>306</v>
      </c>
      <c r="C73" s="1" t="s">
        <v>351</v>
      </c>
    </row>
    <row r="74" spans="1:3" ht="15.75" customHeight="1" x14ac:dyDescent="0.25">
      <c r="A74" s="2" t="s">
        <v>208</v>
      </c>
      <c r="B74" s="10" t="s">
        <v>307</v>
      </c>
      <c r="C74" s="1" t="s">
        <v>240</v>
      </c>
    </row>
    <row r="75" spans="1:3" ht="15.75" customHeight="1" x14ac:dyDescent="0.25">
      <c r="A75" s="2" t="s">
        <v>209</v>
      </c>
      <c r="B75" s="10" t="s">
        <v>308</v>
      </c>
      <c r="C75" s="1" t="s">
        <v>236</v>
      </c>
    </row>
    <row r="76" spans="1:3" ht="15.75" customHeight="1" x14ac:dyDescent="0.25">
      <c r="A76" s="2" t="s">
        <v>210</v>
      </c>
      <c r="B76" s="10" t="s">
        <v>309</v>
      </c>
      <c r="C76" s="1" t="s">
        <v>238</v>
      </c>
    </row>
    <row r="77" spans="1:3" ht="15.75" customHeight="1" x14ac:dyDescent="0.25">
      <c r="A77" s="2" t="s">
        <v>211</v>
      </c>
      <c r="B77" s="10" t="s">
        <v>310</v>
      </c>
      <c r="C77" s="1" t="s">
        <v>237</v>
      </c>
    </row>
    <row r="78" spans="1:3" ht="15.75" customHeight="1" x14ac:dyDescent="0.25">
      <c r="A78" s="2" t="s">
        <v>212</v>
      </c>
      <c r="B78" s="10" t="s">
        <v>311</v>
      </c>
      <c r="C78" s="1" t="s">
        <v>240</v>
      </c>
    </row>
    <row r="79" spans="1:3" ht="15.75" customHeight="1" x14ac:dyDescent="0.25">
      <c r="A79" s="2" t="s">
        <v>213</v>
      </c>
      <c r="B79" s="10" t="s">
        <v>312</v>
      </c>
      <c r="C79" s="1" t="s">
        <v>237</v>
      </c>
    </row>
    <row r="80" spans="1:3" ht="15.75" customHeight="1" x14ac:dyDescent="0.25">
      <c r="A80" s="2" t="s">
        <v>214</v>
      </c>
      <c r="B80" s="10" t="s">
        <v>313</v>
      </c>
      <c r="C80" s="1" t="s">
        <v>236</v>
      </c>
    </row>
    <row r="81" spans="1:3" ht="15.75" customHeight="1" x14ac:dyDescent="0.25">
      <c r="A81" s="2" t="s">
        <v>215</v>
      </c>
      <c r="B81" s="10" t="s">
        <v>314</v>
      </c>
      <c r="C81" s="1" t="s">
        <v>236</v>
      </c>
    </row>
    <row r="82" spans="1:3" ht="15.75" customHeight="1" x14ac:dyDescent="0.25">
      <c r="A82" s="2" t="s">
        <v>216</v>
      </c>
      <c r="B82" s="10" t="s">
        <v>315</v>
      </c>
      <c r="C82" s="1" t="s">
        <v>237</v>
      </c>
    </row>
    <row r="83" spans="1:3" ht="15.75" customHeight="1" x14ac:dyDescent="0.25">
      <c r="A83" s="2" t="s">
        <v>217</v>
      </c>
      <c r="B83" s="10" t="s">
        <v>316</v>
      </c>
      <c r="C83" s="1" t="s">
        <v>236</v>
      </c>
    </row>
    <row r="84" spans="1:3" ht="15.75" customHeight="1" x14ac:dyDescent="0.25">
      <c r="A84" s="2" t="s">
        <v>218</v>
      </c>
      <c r="B84" s="10" t="s">
        <v>317</v>
      </c>
      <c r="C84" s="1" t="s">
        <v>237</v>
      </c>
    </row>
    <row r="85" spans="1:3" ht="15.75" customHeight="1" x14ac:dyDescent="0.25">
      <c r="A85" s="2" t="s">
        <v>219</v>
      </c>
      <c r="B85" s="10" t="s">
        <v>318</v>
      </c>
      <c r="C85" s="1" t="s">
        <v>240</v>
      </c>
    </row>
    <row r="86" spans="1:3" ht="15.75" customHeight="1" x14ac:dyDescent="0.25">
      <c r="A86" s="2" t="s">
        <v>220</v>
      </c>
      <c r="B86" s="10" t="s">
        <v>319</v>
      </c>
      <c r="C86" s="1" t="s">
        <v>237</v>
      </c>
    </row>
    <row r="87" spans="1:3" ht="15.75" customHeight="1" x14ac:dyDescent="0.25">
      <c r="A87" s="2" t="s">
        <v>221</v>
      </c>
      <c r="B87" s="10" t="s">
        <v>320</v>
      </c>
      <c r="C87" s="1" t="s">
        <v>236</v>
      </c>
    </row>
    <row r="88" spans="1:3" ht="15.75" customHeight="1" x14ac:dyDescent="0.25">
      <c r="A88" s="2" t="s">
        <v>222</v>
      </c>
      <c r="B88" s="10" t="s">
        <v>321</v>
      </c>
      <c r="C88" s="1" t="s">
        <v>351</v>
      </c>
    </row>
    <row r="89" spans="1:3" ht="15.75" customHeight="1" x14ac:dyDescent="0.25">
      <c r="A89" s="2" t="s">
        <v>223</v>
      </c>
      <c r="B89" s="10" t="s">
        <v>322</v>
      </c>
      <c r="C89" s="1" t="s">
        <v>237</v>
      </c>
    </row>
    <row r="90" spans="1:3" ht="15.75" customHeight="1" x14ac:dyDescent="0.25">
      <c r="A90" s="2" t="s">
        <v>224</v>
      </c>
      <c r="B90" s="10" t="s">
        <v>323</v>
      </c>
      <c r="C90" s="1" t="s">
        <v>236</v>
      </c>
    </row>
    <row r="91" spans="1:3" ht="15.75" customHeight="1" x14ac:dyDescent="0.25">
      <c r="A91" s="2" t="s">
        <v>225</v>
      </c>
      <c r="B91" s="10" t="s">
        <v>324</v>
      </c>
      <c r="C91" s="1" t="s">
        <v>236</v>
      </c>
    </row>
    <row r="92" spans="1:3" ht="15.75" customHeight="1" x14ac:dyDescent="0.25">
      <c r="A92" s="2" t="s">
        <v>226</v>
      </c>
      <c r="B92" s="10" t="s">
        <v>325</v>
      </c>
      <c r="C92" s="1" t="s">
        <v>236</v>
      </c>
    </row>
    <row r="93" spans="1:3" ht="15.75" customHeight="1" x14ac:dyDescent="0.25">
      <c r="A93" s="2" t="s">
        <v>227</v>
      </c>
      <c r="B93" s="10" t="s">
        <v>326</v>
      </c>
      <c r="C93" s="1" t="s">
        <v>238</v>
      </c>
    </row>
    <row r="94" spans="1:3" ht="15.75" customHeight="1" x14ac:dyDescent="0.25">
      <c r="A94" s="2" t="s">
        <v>228</v>
      </c>
      <c r="B94" s="10" t="s">
        <v>327</v>
      </c>
      <c r="C94" s="1" t="s">
        <v>238</v>
      </c>
    </row>
    <row r="95" spans="1:3" ht="15.75" customHeight="1" x14ac:dyDescent="0.25">
      <c r="A95" s="2" t="s">
        <v>229</v>
      </c>
      <c r="B95" s="10" t="s">
        <v>328</v>
      </c>
      <c r="C95" s="1" t="s">
        <v>237</v>
      </c>
    </row>
    <row r="96" spans="1:3" ht="15.75" customHeight="1" x14ac:dyDescent="0.25">
      <c r="A96" s="2" t="s">
        <v>230</v>
      </c>
      <c r="B96" s="10" t="s">
        <v>329</v>
      </c>
      <c r="C96" s="1" t="s">
        <v>236</v>
      </c>
    </row>
    <row r="97" spans="1:3" ht="15.75" customHeight="1" x14ac:dyDescent="0.25">
      <c r="A97" s="2" t="s">
        <v>231</v>
      </c>
      <c r="B97" s="10" t="s">
        <v>330</v>
      </c>
      <c r="C97" s="1" t="s">
        <v>237</v>
      </c>
    </row>
    <row r="98" spans="1:3" ht="15.75" customHeight="1" x14ac:dyDescent="0.25">
      <c r="A98" s="2" t="s">
        <v>232</v>
      </c>
      <c r="B98" s="10" t="s">
        <v>331</v>
      </c>
      <c r="C98" s="1" t="s">
        <v>351</v>
      </c>
    </row>
    <row r="99" spans="1:3" ht="15.75" customHeight="1" x14ac:dyDescent="0.25">
      <c r="A99" s="2" t="s">
        <v>233</v>
      </c>
      <c r="B99" s="10" t="s">
        <v>332</v>
      </c>
      <c r="C99" s="1" t="s">
        <v>237</v>
      </c>
    </row>
    <row r="100" spans="1:3" ht="15.75" customHeight="1" x14ac:dyDescent="0.25">
      <c r="A100" s="2" t="s">
        <v>234</v>
      </c>
      <c r="B100" s="10" t="s">
        <v>333</v>
      </c>
      <c r="C100" s="1" t="s">
        <v>351</v>
      </c>
    </row>
    <row r="101" spans="1:3" ht="15.75" customHeight="1" x14ac:dyDescent="0.25">
      <c r="A101" s="2" t="s">
        <v>235</v>
      </c>
      <c r="B101" s="10" t="s">
        <v>334</v>
      </c>
      <c r="C101" s="1" t="s">
        <v>240</v>
      </c>
    </row>
    <row r="102" spans="1:3" ht="15.75" customHeight="1" x14ac:dyDescent="0.25"/>
    <row r="103" spans="1:3" ht="15.75" customHeight="1" x14ac:dyDescent="0.25"/>
    <row r="104" spans="1:3" ht="15.75" customHeight="1" x14ac:dyDescent="0.25"/>
    <row r="105" spans="1:3" ht="15.75" customHeight="1" x14ac:dyDescent="0.25"/>
    <row r="106" spans="1:3" ht="15.75" customHeight="1" x14ac:dyDescent="0.25"/>
    <row r="107" spans="1:3" ht="15.75" customHeight="1" x14ac:dyDescent="0.25"/>
    <row r="108" spans="1:3" ht="15.75" customHeight="1" x14ac:dyDescent="0.25"/>
    <row r="109" spans="1:3" ht="15.75" customHeight="1" x14ac:dyDescent="0.25"/>
    <row r="110" spans="1:3" ht="15.75" customHeight="1" x14ac:dyDescent="0.25"/>
    <row r="111" spans="1:3" ht="15.75" customHeight="1" x14ac:dyDescent="0.25"/>
    <row r="112" spans="1:3" ht="15.75" customHeight="1" x14ac:dyDescent="0.25"/>
    <row r="113" ht="15.75" customHeight="1" x14ac:dyDescent="0.25"/>
    <row r="114" ht="15.75" customHeight="1" x14ac:dyDescent="0.25"/>
    <row r="115" ht="15.75" customHeight="1" x14ac:dyDescent="0.25"/>
    <row r="116" ht="15.75" customHeight="1" x14ac:dyDescent="0.25"/>
    <row r="117" ht="15.75" customHeight="1" x14ac:dyDescent="0.25"/>
    <row r="118" ht="15.75" customHeight="1" x14ac:dyDescent="0.25"/>
    <row r="119" ht="15.75" customHeight="1" x14ac:dyDescent="0.25"/>
    <row r="120" ht="15.75" customHeight="1" x14ac:dyDescent="0.25"/>
    <row r="121" ht="15.75" customHeight="1" x14ac:dyDescent="0.25"/>
    <row r="122" ht="15.75" customHeight="1" x14ac:dyDescent="0.25"/>
    <row r="123" ht="15.75" customHeight="1" x14ac:dyDescent="0.25"/>
    <row r="124" ht="15.75" customHeight="1" x14ac:dyDescent="0.25"/>
    <row r="125" ht="15.75" customHeight="1" x14ac:dyDescent="0.25"/>
    <row r="126" ht="15.75" customHeight="1" x14ac:dyDescent="0.25"/>
    <row r="127" ht="15.75" customHeight="1" x14ac:dyDescent="0.25"/>
    <row r="128" ht="15.75" customHeight="1" x14ac:dyDescent="0.25"/>
    <row r="129" ht="15.75" customHeight="1" x14ac:dyDescent="0.25"/>
    <row r="130" ht="15.75" customHeight="1" x14ac:dyDescent="0.25"/>
    <row r="131" ht="15.75" customHeight="1" x14ac:dyDescent="0.25"/>
    <row r="132" ht="15.75" customHeight="1" x14ac:dyDescent="0.25"/>
    <row r="133" ht="15.75" customHeight="1" x14ac:dyDescent="0.25"/>
    <row r="134" ht="15.75" customHeight="1" x14ac:dyDescent="0.25"/>
    <row r="135" ht="15.75" customHeight="1" x14ac:dyDescent="0.25"/>
    <row r="136" ht="15.75" customHeight="1" x14ac:dyDescent="0.25"/>
    <row r="137" ht="15.75" customHeight="1" x14ac:dyDescent="0.25"/>
    <row r="138" ht="15.75" customHeight="1" x14ac:dyDescent="0.25"/>
    <row r="139" ht="15.75" customHeight="1" x14ac:dyDescent="0.25"/>
    <row r="140" ht="15.75" customHeight="1" x14ac:dyDescent="0.25"/>
    <row r="141" ht="15.75" customHeight="1" x14ac:dyDescent="0.25"/>
    <row r="142" ht="15.75" customHeight="1" x14ac:dyDescent="0.25"/>
    <row r="143" ht="15.75" customHeight="1" x14ac:dyDescent="0.25"/>
    <row r="144"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pageMargins left="0.75" right="0.75" top="1" bottom="1" header="0" footer="0"/>
  <pageSetup orientation="landscape"/>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theme="5" tint="0.39997558519241921"/>
  </sheetPr>
  <dimension ref="A1:C1000"/>
  <sheetViews>
    <sheetView workbookViewId="0">
      <selection activeCell="B4" sqref="B4"/>
    </sheetView>
  </sheetViews>
  <sheetFormatPr baseColWidth="10" defaultColWidth="14.42578125" defaultRowHeight="15" customHeight="1" x14ac:dyDescent="0.25"/>
  <cols>
    <col min="1" max="1" width="12.5703125" customWidth="1"/>
    <col min="2" max="2" width="22.42578125" customWidth="1"/>
    <col min="3" max="3" width="21.85546875" customWidth="1"/>
    <col min="4" max="26" width="8.7109375" customWidth="1"/>
  </cols>
  <sheetData>
    <row r="1" spans="1:3" x14ac:dyDescent="0.25">
      <c r="A1" s="1" t="s">
        <v>119</v>
      </c>
      <c r="B1" s="1" t="s">
        <v>120</v>
      </c>
      <c r="C1" s="1" t="s">
        <v>121</v>
      </c>
    </row>
    <row r="2" spans="1:3" x14ac:dyDescent="0.25">
      <c r="A2" s="1" t="s">
        <v>28</v>
      </c>
      <c r="B2" s="1" t="s">
        <v>122</v>
      </c>
      <c r="C2" s="1" t="s">
        <v>139</v>
      </c>
    </row>
    <row r="3" spans="1:3" x14ac:dyDescent="0.25">
      <c r="A3" s="1" t="s">
        <v>10</v>
      </c>
      <c r="B3" s="1" t="s">
        <v>123</v>
      </c>
      <c r="C3" s="1" t="s">
        <v>139</v>
      </c>
    </row>
    <row r="4" spans="1:3" x14ac:dyDescent="0.25">
      <c r="A4" s="1" t="s">
        <v>37</v>
      </c>
      <c r="B4" s="1" t="s">
        <v>124</v>
      </c>
      <c r="C4" s="10" t="s">
        <v>140</v>
      </c>
    </row>
    <row r="5" spans="1:3" x14ac:dyDescent="0.25">
      <c r="A5" s="1" t="s">
        <v>18</v>
      </c>
      <c r="B5" s="1" t="s">
        <v>125</v>
      </c>
      <c r="C5" s="1" t="s">
        <v>139</v>
      </c>
    </row>
    <row r="6" spans="1:3" x14ac:dyDescent="0.25">
      <c r="A6" s="1" t="s">
        <v>7</v>
      </c>
      <c r="B6" s="1" t="s">
        <v>126</v>
      </c>
      <c r="C6" s="1" t="s">
        <v>139</v>
      </c>
    </row>
    <row r="7" spans="1:3" x14ac:dyDescent="0.25">
      <c r="A7" s="1" t="s">
        <v>20</v>
      </c>
      <c r="B7" s="1" t="s">
        <v>127</v>
      </c>
      <c r="C7" s="1" t="s">
        <v>139</v>
      </c>
    </row>
    <row r="8" spans="1:3" x14ac:dyDescent="0.25">
      <c r="A8" s="1" t="s">
        <v>23</v>
      </c>
      <c r="B8" s="1" t="s">
        <v>128</v>
      </c>
      <c r="C8" s="1" t="s">
        <v>129</v>
      </c>
    </row>
    <row r="9" spans="1:3" x14ac:dyDescent="0.25">
      <c r="A9" s="1" t="s">
        <v>64</v>
      </c>
      <c r="B9" s="1" t="s">
        <v>130</v>
      </c>
      <c r="C9" s="1" t="s">
        <v>129</v>
      </c>
    </row>
    <row r="21" ht="15.75" customHeight="1" x14ac:dyDescent="0.25"/>
    <row r="22" ht="15.75" customHeight="1" x14ac:dyDescent="0.25"/>
    <row r="23" ht="15.75" customHeight="1" x14ac:dyDescent="0.25"/>
    <row r="24" ht="15.75" customHeight="1" x14ac:dyDescent="0.25"/>
    <row r="25" ht="15.75" customHeight="1" x14ac:dyDescent="0.25"/>
    <row r="26" ht="15.75" customHeight="1" x14ac:dyDescent="0.25"/>
    <row r="27" ht="15.75" customHeight="1" x14ac:dyDescent="0.25"/>
    <row r="28" ht="15.75" customHeight="1" x14ac:dyDescent="0.25"/>
    <row r="29" ht="15.75" customHeight="1" x14ac:dyDescent="0.25"/>
    <row r="30" ht="15.75" customHeight="1" x14ac:dyDescent="0.25"/>
    <row r="31" ht="15.75" customHeight="1" x14ac:dyDescent="0.25"/>
    <row r="32" ht="15.75" customHeight="1" x14ac:dyDescent="0.25"/>
    <row r="33" ht="15.75" customHeight="1" x14ac:dyDescent="0.25"/>
    <row r="34" ht="15.75" customHeight="1" x14ac:dyDescent="0.25"/>
    <row r="35" ht="15.75" customHeight="1" x14ac:dyDescent="0.25"/>
    <row r="36" ht="15.75" customHeight="1" x14ac:dyDescent="0.25"/>
    <row r="37" ht="15.75" customHeight="1" x14ac:dyDescent="0.25"/>
    <row r="38" ht="15.75" customHeight="1" x14ac:dyDescent="0.25"/>
    <row r="39" ht="15.75" customHeight="1" x14ac:dyDescent="0.25"/>
    <row r="40" ht="15.75" customHeight="1" x14ac:dyDescent="0.25"/>
    <row r="41" ht="15.75" customHeight="1" x14ac:dyDescent="0.25"/>
    <row r="42" ht="15.75" customHeight="1" x14ac:dyDescent="0.25"/>
    <row r="43" ht="15.75" customHeight="1" x14ac:dyDescent="0.25"/>
    <row r="44" ht="15.75" customHeight="1" x14ac:dyDescent="0.25"/>
    <row r="45" ht="15.75" customHeight="1" x14ac:dyDescent="0.25"/>
    <row r="46" ht="15.75" customHeight="1" x14ac:dyDescent="0.25"/>
    <row r="47" ht="15.75" customHeight="1" x14ac:dyDescent="0.25"/>
    <row r="48" ht="15.75" customHeight="1" x14ac:dyDescent="0.25"/>
    <row r="49" ht="15.75" customHeight="1" x14ac:dyDescent="0.25"/>
    <row r="50" ht="15.75" customHeight="1" x14ac:dyDescent="0.25"/>
    <row r="51" ht="15.75" customHeight="1" x14ac:dyDescent="0.25"/>
    <row r="52" ht="15.75" customHeight="1" x14ac:dyDescent="0.25"/>
    <row r="53" ht="15.75" customHeight="1" x14ac:dyDescent="0.25"/>
    <row r="54" ht="15.75" customHeight="1" x14ac:dyDescent="0.25"/>
    <row r="55" ht="15.75" customHeight="1" x14ac:dyDescent="0.25"/>
    <row r="56" ht="15.75" customHeight="1" x14ac:dyDescent="0.25"/>
    <row r="57" ht="15.75" customHeight="1" x14ac:dyDescent="0.25"/>
    <row r="58" ht="15.75" customHeight="1" x14ac:dyDescent="0.25"/>
    <row r="59" ht="15.75" customHeight="1" x14ac:dyDescent="0.25"/>
    <row r="60" ht="15.75" customHeight="1" x14ac:dyDescent="0.25"/>
    <row r="61" ht="15.75" customHeight="1" x14ac:dyDescent="0.25"/>
    <row r="62" ht="15.75" customHeight="1" x14ac:dyDescent="0.25"/>
    <row r="63" ht="15.75" customHeight="1" x14ac:dyDescent="0.25"/>
    <row r="64" ht="15.75" customHeight="1" x14ac:dyDescent="0.25"/>
    <row r="65" ht="15.75" customHeight="1" x14ac:dyDescent="0.25"/>
    <row r="66" ht="15.75" customHeight="1" x14ac:dyDescent="0.25"/>
    <row r="67" ht="15.75" customHeight="1" x14ac:dyDescent="0.25"/>
    <row r="68" ht="15.75" customHeight="1" x14ac:dyDescent="0.25"/>
    <row r="69" ht="15.75" customHeight="1" x14ac:dyDescent="0.25"/>
    <row r="70" ht="15.75" customHeight="1" x14ac:dyDescent="0.25"/>
    <row r="71" ht="15.75" customHeight="1" x14ac:dyDescent="0.25"/>
    <row r="72" ht="15.75" customHeight="1" x14ac:dyDescent="0.25"/>
    <row r="73" ht="15.75" customHeight="1" x14ac:dyDescent="0.25"/>
    <row r="74" ht="15.75" customHeight="1" x14ac:dyDescent="0.25"/>
    <row r="75" ht="15.75" customHeight="1" x14ac:dyDescent="0.25"/>
    <row r="76" ht="15.75" customHeight="1" x14ac:dyDescent="0.25"/>
    <row r="77" ht="15.75" customHeight="1" x14ac:dyDescent="0.25"/>
    <row r="78" ht="15.75" customHeight="1" x14ac:dyDescent="0.25"/>
    <row r="79" ht="15.75" customHeight="1" x14ac:dyDescent="0.25"/>
    <row r="80" ht="15.75" customHeight="1" x14ac:dyDescent="0.25"/>
    <row r="81" ht="15.75" customHeight="1" x14ac:dyDescent="0.25"/>
    <row r="82" ht="15.75" customHeight="1" x14ac:dyDescent="0.25"/>
    <row r="83" ht="15.75" customHeight="1" x14ac:dyDescent="0.25"/>
    <row r="84" ht="15.75" customHeight="1" x14ac:dyDescent="0.25"/>
    <row r="85" ht="15.75" customHeight="1" x14ac:dyDescent="0.25"/>
    <row r="86" ht="15.75" customHeight="1" x14ac:dyDescent="0.25"/>
    <row r="87" ht="15.75" customHeight="1" x14ac:dyDescent="0.25"/>
    <row r="88" ht="15.75" customHeight="1" x14ac:dyDescent="0.25"/>
    <row r="89" ht="15.75" customHeight="1" x14ac:dyDescent="0.25"/>
    <row r="90" ht="15.75" customHeight="1" x14ac:dyDescent="0.25"/>
    <row r="91" ht="15.75" customHeight="1" x14ac:dyDescent="0.25"/>
    <row r="92" ht="15.75" customHeight="1" x14ac:dyDescent="0.25"/>
    <row r="93" ht="15.75" customHeight="1" x14ac:dyDescent="0.25"/>
    <row r="94" ht="15.75" customHeight="1" x14ac:dyDescent="0.25"/>
    <row r="95" ht="15.75" customHeight="1" x14ac:dyDescent="0.25"/>
    <row r="96" ht="15.75" customHeight="1" x14ac:dyDescent="0.25"/>
    <row r="97" ht="15.75" customHeight="1" x14ac:dyDescent="0.25"/>
    <row r="98" ht="15.75" customHeight="1" x14ac:dyDescent="0.25"/>
    <row r="99" ht="15.75" customHeight="1" x14ac:dyDescent="0.25"/>
    <row r="100" ht="15.75" customHeight="1" x14ac:dyDescent="0.25"/>
    <row r="101" ht="15.75" customHeight="1" x14ac:dyDescent="0.25"/>
    <row r="102" ht="15.75" customHeight="1" x14ac:dyDescent="0.25"/>
    <row r="103" ht="15.75" customHeight="1" x14ac:dyDescent="0.25"/>
    <row r="104" ht="15.75" customHeight="1" x14ac:dyDescent="0.25"/>
    <row r="105" ht="15.75" customHeight="1" x14ac:dyDescent="0.25"/>
    <row r="106" ht="15.75" customHeight="1" x14ac:dyDescent="0.25"/>
    <row r="107" ht="15.75" customHeight="1" x14ac:dyDescent="0.25"/>
    <row r="108" ht="15.75" customHeight="1" x14ac:dyDescent="0.25"/>
    <row r="109" ht="15.75" customHeight="1" x14ac:dyDescent="0.25"/>
    <row r="110" ht="15.75" customHeight="1" x14ac:dyDescent="0.25"/>
    <row r="111" ht="15.75" customHeight="1" x14ac:dyDescent="0.25"/>
    <row r="112" ht="15.75" customHeight="1" x14ac:dyDescent="0.25"/>
    <row r="113" ht="15.75" customHeight="1" x14ac:dyDescent="0.25"/>
    <row r="114" ht="15.75" customHeight="1" x14ac:dyDescent="0.25"/>
    <row r="115" ht="15.75" customHeight="1" x14ac:dyDescent="0.25"/>
    <row r="116" ht="15.75" customHeight="1" x14ac:dyDescent="0.25"/>
    <row r="117" ht="15.75" customHeight="1" x14ac:dyDescent="0.25"/>
    <row r="118" ht="15.75" customHeight="1" x14ac:dyDescent="0.25"/>
    <row r="119" ht="15.75" customHeight="1" x14ac:dyDescent="0.25"/>
    <row r="120" ht="15.75" customHeight="1" x14ac:dyDescent="0.25"/>
    <row r="121" ht="15.75" customHeight="1" x14ac:dyDescent="0.25"/>
    <row r="122" ht="15.75" customHeight="1" x14ac:dyDescent="0.25"/>
    <row r="123" ht="15.75" customHeight="1" x14ac:dyDescent="0.25"/>
    <row r="124" ht="15.75" customHeight="1" x14ac:dyDescent="0.25"/>
    <row r="125" ht="15.75" customHeight="1" x14ac:dyDescent="0.25"/>
    <row r="126" ht="15.75" customHeight="1" x14ac:dyDescent="0.25"/>
    <row r="127" ht="15.75" customHeight="1" x14ac:dyDescent="0.25"/>
    <row r="128" ht="15.75" customHeight="1" x14ac:dyDescent="0.25"/>
    <row r="129" ht="15.75" customHeight="1" x14ac:dyDescent="0.25"/>
    <row r="130" ht="15.75" customHeight="1" x14ac:dyDescent="0.25"/>
    <row r="131" ht="15.75" customHeight="1" x14ac:dyDescent="0.25"/>
    <row r="132" ht="15.75" customHeight="1" x14ac:dyDescent="0.25"/>
    <row r="133" ht="15.75" customHeight="1" x14ac:dyDescent="0.25"/>
    <row r="134" ht="15.75" customHeight="1" x14ac:dyDescent="0.25"/>
    <row r="135" ht="15.75" customHeight="1" x14ac:dyDescent="0.25"/>
    <row r="136" ht="15.75" customHeight="1" x14ac:dyDescent="0.25"/>
    <row r="137" ht="15.75" customHeight="1" x14ac:dyDescent="0.25"/>
    <row r="138" ht="15.75" customHeight="1" x14ac:dyDescent="0.25"/>
    <row r="139" ht="15.75" customHeight="1" x14ac:dyDescent="0.25"/>
    <row r="140" ht="15.75" customHeight="1" x14ac:dyDescent="0.25"/>
    <row r="141" ht="15.75" customHeight="1" x14ac:dyDescent="0.25"/>
    <row r="142" ht="15.75" customHeight="1" x14ac:dyDescent="0.25"/>
    <row r="143" ht="15.75" customHeight="1" x14ac:dyDescent="0.25"/>
    <row r="144"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pageMargins left="0.75" right="0.75" top="1" bottom="1" header="0" footer="0"/>
  <pageSetup orientation="landscape"/>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67CBF9-7CA7-453F-9955-B720FDD1A8C8}">
  <sheetPr>
    <tabColor rgb="FFFFFF00"/>
  </sheetPr>
  <dimension ref="C3:Q103"/>
  <sheetViews>
    <sheetView workbookViewId="0">
      <selection activeCell="J4" sqref="J4"/>
    </sheetView>
  </sheetViews>
  <sheetFormatPr baseColWidth="10" defaultRowHeight="15" x14ac:dyDescent="0.25"/>
  <cols>
    <col min="8" max="8" width="17.140625" bestFit="1" customWidth="1"/>
    <col min="10" max="10" width="23.5703125" style="11" customWidth="1"/>
    <col min="16" max="16" width="11.42578125" style="16"/>
    <col min="17" max="17" width="16.28515625" customWidth="1"/>
  </cols>
  <sheetData>
    <row r="3" spans="3:17" x14ac:dyDescent="0.25">
      <c r="C3" s="2" t="s">
        <v>1</v>
      </c>
      <c r="D3" s="8" t="s">
        <v>0</v>
      </c>
      <c r="E3" s="2" t="s">
        <v>3</v>
      </c>
      <c r="F3" s="2" t="s">
        <v>2</v>
      </c>
      <c r="G3" s="2" t="s">
        <v>4</v>
      </c>
      <c r="H3" s="4" t="s">
        <v>5</v>
      </c>
      <c r="I3" s="2" t="s">
        <v>335</v>
      </c>
      <c r="J3" s="14" t="s">
        <v>340</v>
      </c>
      <c r="L3" s="13" t="s">
        <v>337</v>
      </c>
      <c r="M3" s="13"/>
      <c r="N3" s="12"/>
      <c r="P3" s="17" t="s">
        <v>341</v>
      </c>
      <c r="Q3" s="15" t="s">
        <v>342</v>
      </c>
    </row>
    <row r="4" spans="3:17" x14ac:dyDescent="0.25">
      <c r="C4" s="2" t="s">
        <v>6</v>
      </c>
      <c r="D4" s="9">
        <v>46324</v>
      </c>
      <c r="E4" s="2" t="s">
        <v>8</v>
      </c>
      <c r="F4" s="2" t="s">
        <v>7</v>
      </c>
      <c r="G4" s="2">
        <v>7</v>
      </c>
      <c r="H4" s="4">
        <v>401778</v>
      </c>
      <c r="I4" s="26">
        <f>Tabla13[[#This Row],[Cantidad]]*Tabla13[[#This Row],[Precio_Unitario]]</f>
        <v>2812446</v>
      </c>
      <c r="J4" s="26">
        <f>IF(AND(I4&gt;3000000,G4&gt;=5),I4*0.06,IF(I4&gt;1000000,I4*0.04,I4*0.02))</f>
        <v>112497.84</v>
      </c>
      <c r="L4" s="62" t="s">
        <v>336</v>
      </c>
      <c r="M4" s="62"/>
      <c r="N4" s="62"/>
      <c r="P4" s="16">
        <v>46023</v>
      </c>
      <c r="Q4" s="11">
        <f>SUMIFS($I$4:$I$103,$D$4:$D$103,"&gt;="&amp;P4,$D$4:$D$103,"&lt;"&amp;EDATE(P4,1))</f>
        <v>29282604</v>
      </c>
    </row>
    <row r="5" spans="3:17" x14ac:dyDescent="0.25">
      <c r="C5" s="2" t="s">
        <v>9</v>
      </c>
      <c r="D5" s="8">
        <v>46217</v>
      </c>
      <c r="E5" s="2" t="s">
        <v>21</v>
      </c>
      <c r="F5" s="2" t="s">
        <v>10</v>
      </c>
      <c r="G5" s="2">
        <v>1</v>
      </c>
      <c r="H5" s="4">
        <v>810179</v>
      </c>
      <c r="I5" s="26">
        <f>Tabla13[[#This Row],[Cantidad]]*Tabla13[[#This Row],[Precio_Unitario]]</f>
        <v>810179</v>
      </c>
      <c r="J5" s="26">
        <f t="shared" ref="J5:J35" si="0">IF(AND(I5&gt;3000000,G5&gt;=5),I5*0.06,IF(I5&gt;1000000,I5*0.04,I5*0.02))</f>
        <v>16203.58</v>
      </c>
      <c r="L5" s="62"/>
      <c r="M5" s="62"/>
      <c r="N5" s="62"/>
      <c r="P5" s="16">
        <f>EDATE(P4,1)</f>
        <v>46054</v>
      </c>
      <c r="Q5" s="11">
        <f t="shared" ref="Q5:Q15" si="1">SUMIFS($I$4:$I$103,$D$4:$D$103,"&gt;="&amp;P5,$D$4:$D$103,"&lt;"&amp;EDATE(P5,1))</f>
        <v>16709861</v>
      </c>
    </row>
    <row r="6" spans="3:17" x14ac:dyDescent="0.25">
      <c r="C6" s="2" t="s">
        <v>12</v>
      </c>
      <c r="D6" s="8">
        <v>46063</v>
      </c>
      <c r="E6" s="2" t="s">
        <v>11</v>
      </c>
      <c r="F6" s="2" t="s">
        <v>7</v>
      </c>
      <c r="G6" s="2">
        <v>4</v>
      </c>
      <c r="H6" s="4">
        <v>783797</v>
      </c>
      <c r="I6" s="26">
        <f>Tabla13[[#This Row],[Cantidad]]*Tabla13[[#This Row],[Precio_Unitario]]</f>
        <v>3135188</v>
      </c>
      <c r="J6" s="26">
        <f t="shared" si="0"/>
        <v>125407.52</v>
      </c>
      <c r="L6" s="62"/>
      <c r="M6" s="62"/>
      <c r="N6" s="62"/>
      <c r="P6" s="16">
        <f t="shared" ref="P6:P15" si="2">EDATE(P5,1)</f>
        <v>46082</v>
      </c>
      <c r="Q6" s="11">
        <f t="shared" si="1"/>
        <v>13354869</v>
      </c>
    </row>
    <row r="7" spans="3:17" x14ac:dyDescent="0.25">
      <c r="C7" s="2" t="s">
        <v>14</v>
      </c>
      <c r="D7" s="9">
        <v>46142</v>
      </c>
      <c r="E7" s="2" t="s">
        <v>15</v>
      </c>
      <c r="F7" s="2" t="s">
        <v>10</v>
      </c>
      <c r="G7" s="2">
        <v>6</v>
      </c>
      <c r="H7" s="4">
        <v>215555</v>
      </c>
      <c r="I7" s="26">
        <f>Tabla13[[#This Row],[Cantidad]]*Tabla13[[#This Row],[Precio_Unitario]]</f>
        <v>1293330</v>
      </c>
      <c r="J7" s="26">
        <f t="shared" si="0"/>
        <v>51733.200000000004</v>
      </c>
      <c r="L7" s="62"/>
      <c r="M7" s="62"/>
      <c r="N7" s="62"/>
      <c r="P7" s="16">
        <f t="shared" si="2"/>
        <v>46113</v>
      </c>
      <c r="Q7" s="11">
        <f t="shared" si="1"/>
        <v>21947424</v>
      </c>
    </row>
    <row r="8" spans="3:17" x14ac:dyDescent="0.25">
      <c r="C8" s="2" t="s">
        <v>16</v>
      </c>
      <c r="D8" s="8">
        <v>46354</v>
      </c>
      <c r="E8" s="2" t="s">
        <v>13</v>
      </c>
      <c r="F8" s="2" t="s">
        <v>10</v>
      </c>
      <c r="G8" s="2">
        <v>4</v>
      </c>
      <c r="H8" s="4">
        <v>216339</v>
      </c>
      <c r="I8" s="26">
        <f>Tabla13[[#This Row],[Cantidad]]*Tabla13[[#This Row],[Precio_Unitario]]</f>
        <v>865356</v>
      </c>
      <c r="J8" s="26">
        <f t="shared" si="0"/>
        <v>17307.12</v>
      </c>
      <c r="L8" s="62"/>
      <c r="M8" s="62"/>
      <c r="N8" s="62"/>
      <c r="P8" s="16">
        <f t="shared" si="2"/>
        <v>46143</v>
      </c>
      <c r="Q8" s="11">
        <f t="shared" si="1"/>
        <v>21195597</v>
      </c>
    </row>
    <row r="9" spans="3:17" x14ac:dyDescent="0.25">
      <c r="C9" s="2" t="s">
        <v>17</v>
      </c>
      <c r="D9" s="9">
        <v>46375</v>
      </c>
      <c r="E9" s="2" t="s">
        <v>141</v>
      </c>
      <c r="F9" s="2" t="s">
        <v>18</v>
      </c>
      <c r="G9" s="2">
        <v>4</v>
      </c>
      <c r="H9" s="4">
        <v>78659</v>
      </c>
      <c r="I9" s="26">
        <f>Tabla13[[#This Row],[Cantidad]]*Tabla13[[#This Row],[Precio_Unitario]]</f>
        <v>314636</v>
      </c>
      <c r="J9" s="26">
        <f t="shared" si="0"/>
        <v>6292.72</v>
      </c>
      <c r="L9" s="62"/>
      <c r="M9" s="62"/>
      <c r="N9" s="62"/>
      <c r="P9" s="16">
        <f t="shared" si="2"/>
        <v>46174</v>
      </c>
      <c r="Q9" s="11">
        <f t="shared" si="1"/>
        <v>20347776</v>
      </c>
    </row>
    <row r="10" spans="3:17" x14ac:dyDescent="0.25">
      <c r="C10" s="2" t="s">
        <v>19</v>
      </c>
      <c r="D10" s="9">
        <v>46313</v>
      </c>
      <c r="E10" s="2" t="s">
        <v>142</v>
      </c>
      <c r="F10" s="2" t="s">
        <v>20</v>
      </c>
      <c r="G10" s="2">
        <v>11</v>
      </c>
      <c r="H10" s="4">
        <v>526141</v>
      </c>
      <c r="I10" s="26">
        <f>Tabla13[[#This Row],[Cantidad]]*Tabla13[[#This Row],[Precio_Unitario]]</f>
        <v>5787551</v>
      </c>
      <c r="J10" s="26">
        <f t="shared" si="0"/>
        <v>347253.06</v>
      </c>
      <c r="L10" s="62"/>
      <c r="M10" s="62"/>
      <c r="N10" s="62"/>
      <c r="P10" s="16">
        <f t="shared" si="2"/>
        <v>46204</v>
      </c>
      <c r="Q10" s="11">
        <f t="shared" si="1"/>
        <v>9593996</v>
      </c>
    </row>
    <row r="11" spans="3:17" x14ac:dyDescent="0.25">
      <c r="C11" s="2" t="s">
        <v>22</v>
      </c>
      <c r="D11" s="9">
        <v>46322</v>
      </c>
      <c r="E11" s="2" t="s">
        <v>143</v>
      </c>
      <c r="F11" s="2" t="s">
        <v>23</v>
      </c>
      <c r="G11" s="2">
        <v>3</v>
      </c>
      <c r="H11" s="4">
        <v>579277</v>
      </c>
      <c r="I11" s="26">
        <f>Tabla13[[#This Row],[Cantidad]]*Tabla13[[#This Row],[Precio_Unitario]]</f>
        <v>1737831</v>
      </c>
      <c r="J11" s="26">
        <f t="shared" si="0"/>
        <v>69513.240000000005</v>
      </c>
      <c r="P11" s="16">
        <f t="shared" si="2"/>
        <v>46235</v>
      </c>
      <c r="Q11" s="11">
        <f t="shared" si="1"/>
        <v>47002364</v>
      </c>
    </row>
    <row r="12" spans="3:17" x14ac:dyDescent="0.25">
      <c r="C12" s="2" t="s">
        <v>24</v>
      </c>
      <c r="D12" s="8">
        <v>46104</v>
      </c>
      <c r="E12" s="2" t="s">
        <v>144</v>
      </c>
      <c r="F12" s="2" t="s">
        <v>23</v>
      </c>
      <c r="G12" s="2">
        <v>8</v>
      </c>
      <c r="H12" s="4">
        <v>599816</v>
      </c>
      <c r="I12" s="26">
        <f>Tabla13[[#This Row],[Cantidad]]*Tabla13[[#This Row],[Precio_Unitario]]</f>
        <v>4798528</v>
      </c>
      <c r="J12" s="26">
        <f t="shared" si="0"/>
        <v>287911.67999999999</v>
      </c>
      <c r="L12" s="13" t="s">
        <v>338</v>
      </c>
      <c r="M12" s="12"/>
      <c r="N12" s="12"/>
      <c r="P12" s="16">
        <f t="shared" si="2"/>
        <v>46266</v>
      </c>
      <c r="Q12" s="11">
        <f t="shared" si="1"/>
        <v>17428362</v>
      </c>
    </row>
    <row r="13" spans="3:17" x14ac:dyDescent="0.25">
      <c r="C13" s="2" t="s">
        <v>25</v>
      </c>
      <c r="D13" s="9">
        <v>46371</v>
      </c>
      <c r="E13" s="2" t="s">
        <v>145</v>
      </c>
      <c r="F13" s="2" t="s">
        <v>10</v>
      </c>
      <c r="G13" s="2">
        <v>6</v>
      </c>
      <c r="H13" s="4">
        <v>161970</v>
      </c>
      <c r="I13" s="26">
        <f>Tabla13[[#This Row],[Cantidad]]*Tabla13[[#This Row],[Precio_Unitario]]</f>
        <v>971820</v>
      </c>
      <c r="J13" s="26">
        <f t="shared" si="0"/>
        <v>19436.400000000001</v>
      </c>
      <c r="L13" s="62" t="s">
        <v>339</v>
      </c>
      <c r="M13" s="62"/>
      <c r="N13" s="62"/>
      <c r="P13" s="16">
        <f t="shared" si="2"/>
        <v>46296</v>
      </c>
      <c r="Q13" s="11">
        <f t="shared" si="1"/>
        <v>24804003</v>
      </c>
    </row>
    <row r="14" spans="3:17" x14ac:dyDescent="0.25">
      <c r="C14" s="2" t="s">
        <v>26</v>
      </c>
      <c r="D14" s="9">
        <v>46157</v>
      </c>
      <c r="E14" s="2" t="s">
        <v>146</v>
      </c>
      <c r="F14" s="2" t="s">
        <v>37</v>
      </c>
      <c r="G14" s="2">
        <v>5</v>
      </c>
      <c r="H14" s="4">
        <v>714987</v>
      </c>
      <c r="I14" s="26">
        <f>Tabla13[[#This Row],[Cantidad]]*Tabla13[[#This Row],[Precio_Unitario]]</f>
        <v>3574935</v>
      </c>
      <c r="J14" s="26">
        <f t="shared" si="0"/>
        <v>214496.1</v>
      </c>
      <c r="L14" s="62"/>
      <c r="M14" s="62"/>
      <c r="N14" s="62"/>
      <c r="P14" s="16">
        <f t="shared" si="2"/>
        <v>46327</v>
      </c>
      <c r="Q14" s="11">
        <f t="shared" si="1"/>
        <v>19503917</v>
      </c>
    </row>
    <row r="15" spans="3:17" x14ac:dyDescent="0.25">
      <c r="C15" s="2" t="s">
        <v>27</v>
      </c>
      <c r="D15" s="9">
        <v>46294</v>
      </c>
      <c r="E15" s="2" t="s">
        <v>147</v>
      </c>
      <c r="F15" s="2" t="s">
        <v>28</v>
      </c>
      <c r="G15" s="2">
        <v>6</v>
      </c>
      <c r="H15" s="4">
        <v>367451</v>
      </c>
      <c r="I15" s="26">
        <f>Tabla13[[#This Row],[Cantidad]]*Tabla13[[#This Row],[Precio_Unitario]]</f>
        <v>2204706</v>
      </c>
      <c r="J15" s="26">
        <f t="shared" si="0"/>
        <v>88188.24</v>
      </c>
      <c r="P15" s="16">
        <f t="shared" si="2"/>
        <v>46357</v>
      </c>
      <c r="Q15" s="11">
        <f t="shared" si="1"/>
        <v>21019233</v>
      </c>
    </row>
    <row r="16" spans="3:17" x14ac:dyDescent="0.25">
      <c r="C16" s="2" t="s">
        <v>29</v>
      </c>
      <c r="D16" s="8">
        <v>46271</v>
      </c>
      <c r="E16" s="2" t="s">
        <v>148</v>
      </c>
      <c r="F16" s="2" t="s">
        <v>10</v>
      </c>
      <c r="G16" s="2">
        <v>8</v>
      </c>
      <c r="H16" s="4">
        <v>621510</v>
      </c>
      <c r="I16" s="26">
        <f>Tabla13[[#This Row],[Cantidad]]*Tabla13[[#This Row],[Precio_Unitario]]</f>
        <v>4972080</v>
      </c>
      <c r="J16" s="26">
        <f t="shared" si="0"/>
        <v>298324.8</v>
      </c>
    </row>
    <row r="17" spans="3:10" x14ac:dyDescent="0.25">
      <c r="C17" s="2" t="s">
        <v>30</v>
      </c>
      <c r="D17" s="9">
        <v>46299</v>
      </c>
      <c r="E17" s="2" t="s">
        <v>149</v>
      </c>
      <c r="F17" s="2" t="s">
        <v>18</v>
      </c>
      <c r="G17" s="2">
        <v>6</v>
      </c>
      <c r="H17" s="4">
        <v>504381</v>
      </c>
      <c r="I17" s="26">
        <f>Tabla13[[#This Row],[Cantidad]]*Tabla13[[#This Row],[Precio_Unitario]]</f>
        <v>3026286</v>
      </c>
      <c r="J17" s="26">
        <f t="shared" si="0"/>
        <v>181577.16</v>
      </c>
    </row>
    <row r="18" spans="3:10" x14ac:dyDescent="0.25">
      <c r="C18" s="2" t="s">
        <v>31</v>
      </c>
      <c r="D18" s="9">
        <v>46055</v>
      </c>
      <c r="E18" s="2" t="s">
        <v>150</v>
      </c>
      <c r="F18" s="2" t="s">
        <v>20</v>
      </c>
      <c r="G18" s="2">
        <v>4</v>
      </c>
      <c r="H18" s="4">
        <v>52540</v>
      </c>
      <c r="I18" s="26">
        <f>Tabla13[[#This Row],[Cantidad]]*Tabla13[[#This Row],[Precio_Unitario]]</f>
        <v>210160</v>
      </c>
      <c r="J18" s="26">
        <f t="shared" si="0"/>
        <v>4203.2</v>
      </c>
    </row>
    <row r="19" spans="3:10" x14ac:dyDescent="0.25">
      <c r="C19" s="2" t="s">
        <v>32</v>
      </c>
      <c r="D19" s="9">
        <v>46192</v>
      </c>
      <c r="E19" s="2" t="s">
        <v>151</v>
      </c>
      <c r="F19" s="2" t="s">
        <v>10</v>
      </c>
      <c r="G19" s="2">
        <v>4</v>
      </c>
      <c r="H19" s="4">
        <v>610427</v>
      </c>
      <c r="I19" s="26">
        <f>Tabla13[[#This Row],[Cantidad]]*Tabla13[[#This Row],[Precio_Unitario]]</f>
        <v>2441708</v>
      </c>
      <c r="J19" s="26">
        <f t="shared" si="0"/>
        <v>97668.32</v>
      </c>
    </row>
    <row r="20" spans="3:10" x14ac:dyDescent="0.25">
      <c r="C20" s="2" t="s">
        <v>33</v>
      </c>
      <c r="D20" s="9">
        <v>46265</v>
      </c>
      <c r="E20" s="2" t="s">
        <v>152</v>
      </c>
      <c r="F20" s="2" t="s">
        <v>23</v>
      </c>
      <c r="G20" s="2">
        <v>6</v>
      </c>
      <c r="H20" s="4">
        <v>489154</v>
      </c>
      <c r="I20" s="26">
        <f>Tabla13[[#This Row],[Cantidad]]*Tabla13[[#This Row],[Precio_Unitario]]</f>
        <v>2934924</v>
      </c>
      <c r="J20" s="26">
        <f t="shared" si="0"/>
        <v>117396.96</v>
      </c>
    </row>
    <row r="21" spans="3:10" x14ac:dyDescent="0.25">
      <c r="C21" s="2" t="s">
        <v>34</v>
      </c>
      <c r="D21" s="9">
        <v>46353</v>
      </c>
      <c r="E21" s="2" t="s">
        <v>153</v>
      </c>
      <c r="F21" s="2" t="s">
        <v>10</v>
      </c>
      <c r="G21" s="2">
        <v>2</v>
      </c>
      <c r="H21" s="4">
        <v>305735</v>
      </c>
      <c r="I21" s="26">
        <f>Tabla13[[#This Row],[Cantidad]]*Tabla13[[#This Row],[Precio_Unitario]]</f>
        <v>611470</v>
      </c>
      <c r="J21" s="26">
        <f t="shared" si="0"/>
        <v>12229.4</v>
      </c>
    </row>
    <row r="22" spans="3:10" x14ac:dyDescent="0.25">
      <c r="C22" s="2" t="s">
        <v>35</v>
      </c>
      <c r="D22" s="8">
        <v>46259</v>
      </c>
      <c r="E22" s="2" t="s">
        <v>154</v>
      </c>
      <c r="F22" s="2" t="s">
        <v>18</v>
      </c>
      <c r="G22" s="2">
        <v>9</v>
      </c>
      <c r="H22" s="4">
        <v>147664</v>
      </c>
      <c r="I22" s="26">
        <f>Tabla13[[#This Row],[Cantidad]]*Tabla13[[#This Row],[Precio_Unitario]]</f>
        <v>1328976</v>
      </c>
      <c r="J22" s="26">
        <f t="shared" si="0"/>
        <v>53159.040000000001</v>
      </c>
    </row>
    <row r="23" spans="3:10" x14ac:dyDescent="0.25">
      <c r="C23" s="2" t="s">
        <v>36</v>
      </c>
      <c r="D23" s="9">
        <v>46144</v>
      </c>
      <c r="E23" s="2" t="s">
        <v>155</v>
      </c>
      <c r="F23" s="2" t="s">
        <v>37</v>
      </c>
      <c r="G23" s="2">
        <v>7</v>
      </c>
      <c r="H23" s="4">
        <v>106483</v>
      </c>
      <c r="I23" s="26">
        <f>Tabla13[[#This Row],[Cantidad]]*Tabla13[[#This Row],[Precio_Unitario]]</f>
        <v>745381</v>
      </c>
      <c r="J23" s="26">
        <f t="shared" si="0"/>
        <v>14907.62</v>
      </c>
    </row>
    <row r="24" spans="3:10" x14ac:dyDescent="0.25">
      <c r="C24" s="2" t="s">
        <v>38</v>
      </c>
      <c r="D24" s="9">
        <v>46255</v>
      </c>
      <c r="E24" s="2" t="s">
        <v>156</v>
      </c>
      <c r="F24" s="2" t="s">
        <v>7</v>
      </c>
      <c r="G24" s="2">
        <v>9</v>
      </c>
      <c r="H24" s="4">
        <v>739022</v>
      </c>
      <c r="I24" s="26">
        <f>Tabla13[[#This Row],[Cantidad]]*Tabla13[[#This Row],[Precio_Unitario]]</f>
        <v>6651198</v>
      </c>
      <c r="J24" s="26">
        <f t="shared" si="0"/>
        <v>399071.88</v>
      </c>
    </row>
    <row r="25" spans="3:10" x14ac:dyDescent="0.25">
      <c r="C25" s="2" t="s">
        <v>39</v>
      </c>
      <c r="D25" s="9">
        <v>46052</v>
      </c>
      <c r="E25" s="2" t="s">
        <v>157</v>
      </c>
      <c r="F25" s="2" t="s">
        <v>28</v>
      </c>
      <c r="G25" s="2">
        <v>9</v>
      </c>
      <c r="H25" s="4">
        <v>601926</v>
      </c>
      <c r="I25" s="26">
        <f>Tabla13[[#This Row],[Cantidad]]*Tabla13[[#This Row],[Precio_Unitario]]</f>
        <v>5417334</v>
      </c>
      <c r="J25" s="26">
        <f t="shared" si="0"/>
        <v>325040.03999999998</v>
      </c>
    </row>
    <row r="26" spans="3:10" x14ac:dyDescent="0.25">
      <c r="C26" s="2" t="s">
        <v>40</v>
      </c>
      <c r="D26" s="9">
        <v>46327</v>
      </c>
      <c r="E26" s="2" t="s">
        <v>158</v>
      </c>
      <c r="F26" s="2" t="s">
        <v>10</v>
      </c>
      <c r="G26" s="2">
        <v>10</v>
      </c>
      <c r="H26" s="4">
        <v>303175</v>
      </c>
      <c r="I26" s="26">
        <f>Tabla13[[#This Row],[Cantidad]]*Tabla13[[#This Row],[Precio_Unitario]]</f>
        <v>3031750</v>
      </c>
      <c r="J26" s="26">
        <f t="shared" si="0"/>
        <v>181905</v>
      </c>
    </row>
    <row r="27" spans="3:10" x14ac:dyDescent="0.25">
      <c r="C27" s="2" t="s">
        <v>41</v>
      </c>
      <c r="D27" s="9">
        <v>46312</v>
      </c>
      <c r="E27" s="2" t="s">
        <v>159</v>
      </c>
      <c r="F27" s="2" t="s">
        <v>20</v>
      </c>
      <c r="G27" s="2">
        <v>4</v>
      </c>
      <c r="H27" s="4">
        <v>323517</v>
      </c>
      <c r="I27" s="26">
        <f>Tabla13[[#This Row],[Cantidad]]*Tabla13[[#This Row],[Precio_Unitario]]</f>
        <v>1294068</v>
      </c>
      <c r="J27" s="26">
        <f t="shared" si="0"/>
        <v>51762.720000000001</v>
      </c>
    </row>
    <row r="28" spans="3:10" x14ac:dyDescent="0.25">
      <c r="C28" s="2" t="s">
        <v>42</v>
      </c>
      <c r="D28" s="9">
        <v>46060</v>
      </c>
      <c r="E28" s="2" t="s">
        <v>160</v>
      </c>
      <c r="F28" s="2" t="s">
        <v>28</v>
      </c>
      <c r="G28" s="2">
        <v>2</v>
      </c>
      <c r="H28" s="4">
        <v>121819</v>
      </c>
      <c r="I28" s="26">
        <f>Tabla13[[#This Row],[Cantidad]]*Tabla13[[#This Row],[Precio_Unitario]]</f>
        <v>243638</v>
      </c>
      <c r="J28" s="26">
        <f t="shared" si="0"/>
        <v>4872.76</v>
      </c>
    </row>
    <row r="29" spans="3:10" x14ac:dyDescent="0.25">
      <c r="C29" s="2" t="s">
        <v>43</v>
      </c>
      <c r="D29" s="9">
        <v>46058</v>
      </c>
      <c r="E29" s="2" t="s">
        <v>161</v>
      </c>
      <c r="F29" s="2" t="s">
        <v>18</v>
      </c>
      <c r="G29" s="2">
        <v>9</v>
      </c>
      <c r="H29" s="4">
        <v>782715</v>
      </c>
      <c r="I29" s="26">
        <f>Tabla13[[#This Row],[Cantidad]]*Tabla13[[#This Row],[Precio_Unitario]]</f>
        <v>7044435</v>
      </c>
      <c r="J29" s="26">
        <f t="shared" si="0"/>
        <v>422666.1</v>
      </c>
    </row>
    <row r="30" spans="3:10" x14ac:dyDescent="0.25">
      <c r="C30" s="2" t="s">
        <v>44</v>
      </c>
      <c r="D30" s="9">
        <v>46364</v>
      </c>
      <c r="E30" s="2" t="s">
        <v>162</v>
      </c>
      <c r="F30" s="2" t="s">
        <v>7</v>
      </c>
      <c r="G30" s="2">
        <v>2</v>
      </c>
      <c r="H30" s="4">
        <v>157235</v>
      </c>
      <c r="I30" s="26">
        <f>Tabla13[[#This Row],[Cantidad]]*Tabla13[[#This Row],[Precio_Unitario]]</f>
        <v>314470</v>
      </c>
      <c r="J30" s="26">
        <f t="shared" si="0"/>
        <v>6289.4000000000005</v>
      </c>
    </row>
    <row r="31" spans="3:10" x14ac:dyDescent="0.25">
      <c r="C31" s="2" t="s">
        <v>45</v>
      </c>
      <c r="D31" s="9">
        <v>46130</v>
      </c>
      <c r="E31" s="2" t="s">
        <v>163</v>
      </c>
      <c r="F31" s="2" t="s">
        <v>20</v>
      </c>
      <c r="G31" s="2">
        <v>9</v>
      </c>
      <c r="H31" s="4">
        <v>557262</v>
      </c>
      <c r="I31" s="26">
        <f>Tabla13[[#This Row],[Cantidad]]*Tabla13[[#This Row],[Precio_Unitario]]</f>
        <v>5015358</v>
      </c>
      <c r="J31" s="26">
        <f t="shared" si="0"/>
        <v>300921.48</v>
      </c>
    </row>
    <row r="32" spans="3:10" x14ac:dyDescent="0.25">
      <c r="C32" s="2" t="s">
        <v>46</v>
      </c>
      <c r="D32" s="9">
        <v>46164</v>
      </c>
      <c r="E32" s="2" t="s">
        <v>164</v>
      </c>
      <c r="F32" s="2" t="s">
        <v>28</v>
      </c>
      <c r="G32" s="2">
        <v>5</v>
      </c>
      <c r="H32" s="4">
        <v>214430</v>
      </c>
      <c r="I32" s="26">
        <f>Tabla13[[#This Row],[Cantidad]]*Tabla13[[#This Row],[Precio_Unitario]]</f>
        <v>1072150</v>
      </c>
      <c r="J32" s="26">
        <f t="shared" si="0"/>
        <v>42886</v>
      </c>
    </row>
    <row r="33" spans="3:10" x14ac:dyDescent="0.25">
      <c r="C33" s="2" t="s">
        <v>47</v>
      </c>
      <c r="D33" s="9">
        <v>46027</v>
      </c>
      <c r="E33" s="2" t="s">
        <v>165</v>
      </c>
      <c r="F33" s="2" t="s">
        <v>10</v>
      </c>
      <c r="G33" s="2">
        <v>3</v>
      </c>
      <c r="H33" s="4">
        <v>617092</v>
      </c>
      <c r="I33" s="26">
        <f>Tabla13[[#This Row],[Cantidad]]*Tabla13[[#This Row],[Precio_Unitario]]</f>
        <v>1851276</v>
      </c>
      <c r="J33" s="26">
        <f t="shared" si="0"/>
        <v>74051.040000000008</v>
      </c>
    </row>
    <row r="34" spans="3:10" x14ac:dyDescent="0.25">
      <c r="C34" s="2" t="s">
        <v>48</v>
      </c>
      <c r="D34" s="9">
        <v>46044</v>
      </c>
      <c r="E34" s="2" t="s">
        <v>166</v>
      </c>
      <c r="F34" s="2" t="s">
        <v>7</v>
      </c>
      <c r="G34" s="2">
        <v>1</v>
      </c>
      <c r="H34" s="4">
        <v>420190</v>
      </c>
      <c r="I34" s="26">
        <f>Tabla13[[#This Row],[Cantidad]]*Tabla13[[#This Row],[Precio_Unitario]]</f>
        <v>420190</v>
      </c>
      <c r="J34" s="26">
        <f t="shared" si="0"/>
        <v>8403.7999999999993</v>
      </c>
    </row>
    <row r="35" spans="3:10" x14ac:dyDescent="0.25">
      <c r="C35" s="2" t="s">
        <v>49</v>
      </c>
      <c r="D35" s="9">
        <v>46231</v>
      </c>
      <c r="E35" s="2" t="s">
        <v>167</v>
      </c>
      <c r="F35" s="2" t="s">
        <v>37</v>
      </c>
      <c r="G35" s="2">
        <v>3</v>
      </c>
      <c r="H35" s="4">
        <v>477322</v>
      </c>
      <c r="I35" s="26">
        <f>Tabla13[[#This Row],[Cantidad]]*Tabla13[[#This Row],[Precio_Unitario]]</f>
        <v>1431966</v>
      </c>
      <c r="J35" s="26">
        <f t="shared" si="0"/>
        <v>57278.64</v>
      </c>
    </row>
    <row r="36" spans="3:10" x14ac:dyDescent="0.25">
      <c r="C36" s="2" t="s">
        <v>50</v>
      </c>
      <c r="D36" s="9">
        <v>46365</v>
      </c>
      <c r="E36" s="2" t="s">
        <v>168</v>
      </c>
      <c r="F36" s="2" t="s">
        <v>18</v>
      </c>
      <c r="G36" s="2">
        <v>7</v>
      </c>
      <c r="H36" s="4">
        <v>85605</v>
      </c>
      <c r="I36" s="26">
        <f>Tabla13[[#This Row],[Cantidad]]*Tabla13[[#This Row],[Precio_Unitario]]</f>
        <v>599235</v>
      </c>
      <c r="J36" s="26">
        <f t="shared" ref="J36:J67" si="3">IF(AND(I36&gt;3000000,G36&gt;=5),I36*0.06,IF(I36&gt;1000000,I36*0.04,I36*0.02))</f>
        <v>11984.7</v>
      </c>
    </row>
    <row r="37" spans="3:10" x14ac:dyDescent="0.25">
      <c r="C37" s="2" t="s">
        <v>51</v>
      </c>
      <c r="D37" s="9">
        <v>46258</v>
      </c>
      <c r="E37" s="2" t="s">
        <v>169</v>
      </c>
      <c r="F37" s="2" t="s">
        <v>20</v>
      </c>
      <c r="G37" s="2">
        <v>4</v>
      </c>
      <c r="H37" s="4">
        <v>69813</v>
      </c>
      <c r="I37" s="26">
        <f>Tabla13[[#This Row],[Cantidad]]*Tabla13[[#This Row],[Precio_Unitario]]</f>
        <v>279252</v>
      </c>
      <c r="J37" s="26">
        <f t="shared" si="3"/>
        <v>5585.04</v>
      </c>
    </row>
    <row r="38" spans="3:10" x14ac:dyDescent="0.25">
      <c r="C38" s="2" t="s">
        <v>52</v>
      </c>
      <c r="D38" s="8">
        <v>46165</v>
      </c>
      <c r="E38" s="2" t="s">
        <v>170</v>
      </c>
      <c r="F38" s="2" t="s">
        <v>20</v>
      </c>
      <c r="G38" s="2">
        <v>9</v>
      </c>
      <c r="H38" s="4">
        <v>392235</v>
      </c>
      <c r="I38" s="26">
        <f>Tabla13[[#This Row],[Cantidad]]*Tabla13[[#This Row],[Precio_Unitario]]</f>
        <v>3530115</v>
      </c>
      <c r="J38" s="26">
        <f t="shared" si="3"/>
        <v>211806.9</v>
      </c>
    </row>
    <row r="39" spans="3:10" x14ac:dyDescent="0.25">
      <c r="C39" s="2" t="s">
        <v>53</v>
      </c>
      <c r="D39" s="9">
        <v>46114</v>
      </c>
      <c r="E39" s="2" t="s">
        <v>171</v>
      </c>
      <c r="F39" s="2" t="s">
        <v>7</v>
      </c>
      <c r="G39" s="2">
        <v>12</v>
      </c>
      <c r="H39" s="4">
        <v>373914</v>
      </c>
      <c r="I39" s="26">
        <f>Tabla13[[#This Row],[Cantidad]]*Tabla13[[#This Row],[Precio_Unitario]]</f>
        <v>4486968</v>
      </c>
      <c r="J39" s="26">
        <f t="shared" si="3"/>
        <v>269218.08</v>
      </c>
    </row>
    <row r="40" spans="3:10" x14ac:dyDescent="0.25">
      <c r="C40" s="2" t="s">
        <v>54</v>
      </c>
      <c r="D40" s="9">
        <v>46120</v>
      </c>
      <c r="E40" s="2" t="s">
        <v>172</v>
      </c>
      <c r="F40" s="2" t="s">
        <v>7</v>
      </c>
      <c r="G40" s="2">
        <v>9</v>
      </c>
      <c r="H40" s="4">
        <v>765221</v>
      </c>
      <c r="I40" s="26">
        <f>Tabla13[[#This Row],[Cantidad]]*Tabla13[[#This Row],[Precio_Unitario]]</f>
        <v>6886989</v>
      </c>
      <c r="J40" s="26">
        <f t="shared" si="3"/>
        <v>413219.33999999997</v>
      </c>
    </row>
    <row r="41" spans="3:10" x14ac:dyDescent="0.25">
      <c r="C41" s="2" t="s">
        <v>55</v>
      </c>
      <c r="D41" s="9">
        <v>46209</v>
      </c>
      <c r="E41" s="2" t="s">
        <v>173</v>
      </c>
      <c r="F41" s="2" t="s">
        <v>23</v>
      </c>
      <c r="G41" s="2">
        <v>10</v>
      </c>
      <c r="H41" s="4">
        <v>374164</v>
      </c>
      <c r="I41" s="26">
        <f>Tabla13[[#This Row],[Cantidad]]*Tabla13[[#This Row],[Precio_Unitario]]</f>
        <v>3741640</v>
      </c>
      <c r="J41" s="26">
        <f t="shared" si="3"/>
        <v>224498.4</v>
      </c>
    </row>
    <row r="42" spans="3:10" x14ac:dyDescent="0.25">
      <c r="C42" s="2" t="s">
        <v>56</v>
      </c>
      <c r="D42" s="9">
        <v>46364</v>
      </c>
      <c r="E42" s="2" t="s">
        <v>174</v>
      </c>
      <c r="F42" s="2" t="s">
        <v>23</v>
      </c>
      <c r="G42" s="2">
        <v>3</v>
      </c>
      <c r="H42" s="4">
        <v>246158</v>
      </c>
      <c r="I42" s="26">
        <f>Tabla13[[#This Row],[Cantidad]]*Tabla13[[#This Row],[Precio_Unitario]]</f>
        <v>738474</v>
      </c>
      <c r="J42" s="26">
        <f t="shared" si="3"/>
        <v>14769.48</v>
      </c>
    </row>
    <row r="43" spans="3:10" x14ac:dyDescent="0.25">
      <c r="C43" s="2" t="s">
        <v>57</v>
      </c>
      <c r="D43" s="9">
        <v>46338</v>
      </c>
      <c r="E43" s="2" t="s">
        <v>175</v>
      </c>
      <c r="F43" s="2" t="s">
        <v>7</v>
      </c>
      <c r="G43" s="2">
        <v>5</v>
      </c>
      <c r="H43" s="4">
        <v>265392</v>
      </c>
      <c r="I43" s="26">
        <f>Tabla13[[#This Row],[Cantidad]]*Tabla13[[#This Row],[Precio_Unitario]]</f>
        <v>1326960</v>
      </c>
      <c r="J43" s="26">
        <f t="shared" si="3"/>
        <v>53078.400000000001</v>
      </c>
    </row>
    <row r="44" spans="3:10" x14ac:dyDescent="0.25">
      <c r="C44" s="2" t="s">
        <v>58</v>
      </c>
      <c r="D44" s="9">
        <v>46249</v>
      </c>
      <c r="E44" s="2" t="s">
        <v>176</v>
      </c>
      <c r="F44" s="2" t="s">
        <v>18</v>
      </c>
      <c r="G44" s="2">
        <v>12</v>
      </c>
      <c r="H44" s="4">
        <v>222934</v>
      </c>
      <c r="I44" s="26">
        <f>Tabla13[[#This Row],[Cantidad]]*Tabla13[[#This Row],[Precio_Unitario]]</f>
        <v>2675208</v>
      </c>
      <c r="J44" s="26">
        <f t="shared" si="3"/>
        <v>107008.32000000001</v>
      </c>
    </row>
    <row r="45" spans="3:10" x14ac:dyDescent="0.25">
      <c r="C45" s="2" t="s">
        <v>59</v>
      </c>
      <c r="D45" s="9">
        <v>46070</v>
      </c>
      <c r="E45" s="2" t="s">
        <v>177</v>
      </c>
      <c r="F45" s="2" t="s">
        <v>18</v>
      </c>
      <c r="G45" s="2">
        <v>1</v>
      </c>
      <c r="H45" s="4">
        <v>93458</v>
      </c>
      <c r="I45" s="26">
        <f>Tabla13[[#This Row],[Cantidad]]*Tabla13[[#This Row],[Precio_Unitario]]</f>
        <v>93458</v>
      </c>
      <c r="J45" s="26">
        <f t="shared" si="3"/>
        <v>1869.16</v>
      </c>
    </row>
    <row r="46" spans="3:10" x14ac:dyDescent="0.25">
      <c r="C46" s="2" t="s">
        <v>60</v>
      </c>
      <c r="D46" s="9">
        <v>46235</v>
      </c>
      <c r="E46" s="2" t="s">
        <v>178</v>
      </c>
      <c r="F46" s="2" t="s">
        <v>18</v>
      </c>
      <c r="G46" s="2">
        <v>11</v>
      </c>
      <c r="H46" s="4">
        <v>766024</v>
      </c>
      <c r="I46" s="26">
        <f>Tabla13[[#This Row],[Cantidad]]*Tabla13[[#This Row],[Precio_Unitario]]</f>
        <v>8426264</v>
      </c>
      <c r="J46" s="26">
        <f t="shared" si="3"/>
        <v>505575.83999999997</v>
      </c>
    </row>
    <row r="47" spans="3:10" x14ac:dyDescent="0.25">
      <c r="C47" s="2" t="s">
        <v>61</v>
      </c>
      <c r="D47" s="9">
        <v>46240</v>
      </c>
      <c r="E47" s="2" t="s">
        <v>179</v>
      </c>
      <c r="F47" s="2" t="s">
        <v>18</v>
      </c>
      <c r="G47" s="2">
        <v>8</v>
      </c>
      <c r="H47" s="4">
        <v>97657</v>
      </c>
      <c r="I47" s="26">
        <f>Tabla13[[#This Row],[Cantidad]]*Tabla13[[#This Row],[Precio_Unitario]]</f>
        <v>781256</v>
      </c>
      <c r="J47" s="26">
        <f t="shared" si="3"/>
        <v>15625.12</v>
      </c>
    </row>
    <row r="48" spans="3:10" x14ac:dyDescent="0.25">
      <c r="C48" s="2" t="s">
        <v>62</v>
      </c>
      <c r="D48" s="9">
        <v>46260</v>
      </c>
      <c r="E48" s="2" t="s">
        <v>180</v>
      </c>
      <c r="F48" s="2" t="s">
        <v>20</v>
      </c>
      <c r="G48" s="2">
        <v>9</v>
      </c>
      <c r="H48" s="4">
        <v>492470</v>
      </c>
      <c r="I48" s="26">
        <f>Tabla13[[#This Row],[Cantidad]]*Tabla13[[#This Row],[Precio_Unitario]]</f>
        <v>4432230</v>
      </c>
      <c r="J48" s="26">
        <f t="shared" si="3"/>
        <v>265933.8</v>
      </c>
    </row>
    <row r="49" spans="3:10" x14ac:dyDescent="0.25">
      <c r="C49" s="2" t="s">
        <v>63</v>
      </c>
      <c r="D49" s="9">
        <v>46266</v>
      </c>
      <c r="E49" s="2" t="s">
        <v>181</v>
      </c>
      <c r="F49" s="2" t="s">
        <v>64</v>
      </c>
      <c r="G49" s="2">
        <v>5</v>
      </c>
      <c r="H49" s="4">
        <v>848013</v>
      </c>
      <c r="I49" s="26">
        <f>Tabla13[[#This Row],[Cantidad]]*Tabla13[[#This Row],[Precio_Unitario]]</f>
        <v>4240065</v>
      </c>
      <c r="J49" s="26">
        <f t="shared" si="3"/>
        <v>254403.9</v>
      </c>
    </row>
    <row r="50" spans="3:10" x14ac:dyDescent="0.25">
      <c r="C50" s="2" t="s">
        <v>65</v>
      </c>
      <c r="D50" s="9">
        <v>46248</v>
      </c>
      <c r="E50" s="2" t="s">
        <v>182</v>
      </c>
      <c r="F50" s="2" t="s">
        <v>10</v>
      </c>
      <c r="G50" s="2">
        <v>9</v>
      </c>
      <c r="H50" s="4">
        <v>129491</v>
      </c>
      <c r="I50" s="26">
        <f>Tabla13[[#This Row],[Cantidad]]*Tabla13[[#This Row],[Precio_Unitario]]</f>
        <v>1165419</v>
      </c>
      <c r="J50" s="26">
        <f t="shared" si="3"/>
        <v>46616.76</v>
      </c>
    </row>
    <row r="51" spans="3:10" x14ac:dyDescent="0.25">
      <c r="C51" s="2" t="s">
        <v>66</v>
      </c>
      <c r="D51" s="9">
        <v>46055</v>
      </c>
      <c r="E51" s="2" t="s">
        <v>183</v>
      </c>
      <c r="F51" s="2" t="s">
        <v>23</v>
      </c>
      <c r="G51" s="2">
        <v>1</v>
      </c>
      <c r="H51" s="4">
        <v>261881</v>
      </c>
      <c r="I51" s="26">
        <f>Tabla13[[#This Row],[Cantidad]]*Tabla13[[#This Row],[Precio_Unitario]]</f>
        <v>261881</v>
      </c>
      <c r="J51" s="26">
        <f t="shared" si="3"/>
        <v>5237.62</v>
      </c>
    </row>
    <row r="52" spans="3:10" x14ac:dyDescent="0.25">
      <c r="C52" s="2" t="s">
        <v>67</v>
      </c>
      <c r="D52" s="8">
        <v>46379</v>
      </c>
      <c r="E52" s="2" t="s">
        <v>184</v>
      </c>
      <c r="F52" s="2" t="s">
        <v>28</v>
      </c>
      <c r="G52" s="2">
        <v>6</v>
      </c>
      <c r="H52" s="4">
        <v>358118</v>
      </c>
      <c r="I52" s="26">
        <f>Tabla13[[#This Row],[Cantidad]]*Tabla13[[#This Row],[Precio_Unitario]]</f>
        <v>2148708</v>
      </c>
      <c r="J52" s="26">
        <f t="shared" si="3"/>
        <v>85948.32</v>
      </c>
    </row>
    <row r="53" spans="3:10" x14ac:dyDescent="0.25">
      <c r="C53" s="2" t="s">
        <v>68</v>
      </c>
      <c r="D53" s="9">
        <v>46237</v>
      </c>
      <c r="E53" s="2" t="s">
        <v>185</v>
      </c>
      <c r="F53" s="2" t="s">
        <v>18</v>
      </c>
      <c r="G53" s="2">
        <v>1</v>
      </c>
      <c r="H53" s="4">
        <v>452746</v>
      </c>
      <c r="I53" s="26">
        <f>Tabla13[[#This Row],[Cantidad]]*Tabla13[[#This Row],[Precio_Unitario]]</f>
        <v>452746</v>
      </c>
      <c r="J53" s="26">
        <f t="shared" si="3"/>
        <v>9054.92</v>
      </c>
    </row>
    <row r="54" spans="3:10" x14ac:dyDescent="0.25">
      <c r="C54" s="2" t="s">
        <v>69</v>
      </c>
      <c r="D54" s="9">
        <v>46262</v>
      </c>
      <c r="E54" s="2" t="s">
        <v>186</v>
      </c>
      <c r="F54" s="2" t="s">
        <v>37</v>
      </c>
      <c r="G54" s="2">
        <v>10</v>
      </c>
      <c r="H54" s="4">
        <v>636807</v>
      </c>
      <c r="I54" s="26">
        <f>Tabla13[[#This Row],[Cantidad]]*Tabla13[[#This Row],[Precio_Unitario]]</f>
        <v>6368070</v>
      </c>
      <c r="J54" s="26">
        <f t="shared" si="3"/>
        <v>382084.2</v>
      </c>
    </row>
    <row r="55" spans="3:10" x14ac:dyDescent="0.25">
      <c r="C55" s="2" t="s">
        <v>70</v>
      </c>
      <c r="D55" s="9">
        <v>46116</v>
      </c>
      <c r="E55" s="2" t="s">
        <v>187</v>
      </c>
      <c r="F55" s="2" t="s">
        <v>28</v>
      </c>
      <c r="G55" s="2">
        <v>6</v>
      </c>
      <c r="H55" s="4">
        <v>398894</v>
      </c>
      <c r="I55" s="26">
        <f>Tabla13[[#This Row],[Cantidad]]*Tabla13[[#This Row],[Precio_Unitario]]</f>
        <v>2393364</v>
      </c>
      <c r="J55" s="26">
        <f t="shared" si="3"/>
        <v>95734.56</v>
      </c>
    </row>
    <row r="56" spans="3:10" x14ac:dyDescent="0.25">
      <c r="C56" s="2" t="s">
        <v>71</v>
      </c>
      <c r="D56" s="8">
        <v>46238</v>
      </c>
      <c r="E56" s="2" t="s">
        <v>188</v>
      </c>
      <c r="F56" s="2" t="s">
        <v>7</v>
      </c>
      <c r="G56" s="2">
        <v>1</v>
      </c>
      <c r="H56" s="4">
        <v>411960</v>
      </c>
      <c r="I56" s="26">
        <f>Tabla13[[#This Row],[Cantidad]]*Tabla13[[#This Row],[Precio_Unitario]]</f>
        <v>411960</v>
      </c>
      <c r="J56" s="26">
        <f t="shared" si="3"/>
        <v>8239.2000000000007</v>
      </c>
    </row>
    <row r="57" spans="3:10" x14ac:dyDescent="0.25">
      <c r="C57" s="2" t="s">
        <v>72</v>
      </c>
      <c r="D57" s="9">
        <v>46043</v>
      </c>
      <c r="E57" s="2" t="s">
        <v>189</v>
      </c>
      <c r="F57" s="2" t="s">
        <v>28</v>
      </c>
      <c r="G57" s="2">
        <v>3</v>
      </c>
      <c r="H57" s="4">
        <v>295132</v>
      </c>
      <c r="I57" s="26">
        <f>Tabla13[[#This Row],[Cantidad]]*Tabla13[[#This Row],[Precio_Unitario]]</f>
        <v>885396</v>
      </c>
      <c r="J57" s="26">
        <f t="shared" si="3"/>
        <v>17707.920000000002</v>
      </c>
    </row>
    <row r="58" spans="3:10" x14ac:dyDescent="0.25">
      <c r="C58" s="2" t="s">
        <v>73</v>
      </c>
      <c r="D58" s="8">
        <v>46381</v>
      </c>
      <c r="E58" s="2" t="s">
        <v>190</v>
      </c>
      <c r="F58" s="2" t="s">
        <v>7</v>
      </c>
      <c r="G58" s="2">
        <v>12</v>
      </c>
      <c r="H58" s="4">
        <v>798252</v>
      </c>
      <c r="I58" s="26">
        <f>Tabla13[[#This Row],[Cantidad]]*Tabla13[[#This Row],[Precio_Unitario]]</f>
        <v>9579024</v>
      </c>
      <c r="J58" s="26">
        <f t="shared" si="3"/>
        <v>574741.43999999994</v>
      </c>
    </row>
    <row r="59" spans="3:10" x14ac:dyDescent="0.25">
      <c r="C59" s="2" t="s">
        <v>74</v>
      </c>
      <c r="D59" s="9">
        <v>46078</v>
      </c>
      <c r="E59" s="2" t="s">
        <v>191</v>
      </c>
      <c r="F59" s="2" t="s">
        <v>28</v>
      </c>
      <c r="G59" s="2">
        <v>7</v>
      </c>
      <c r="H59" s="4">
        <v>460922</v>
      </c>
      <c r="I59" s="26">
        <f>Tabla13[[#This Row],[Cantidad]]*Tabla13[[#This Row],[Precio_Unitario]]</f>
        <v>3226454</v>
      </c>
      <c r="J59" s="26">
        <f t="shared" si="3"/>
        <v>193587.24</v>
      </c>
    </row>
    <row r="60" spans="3:10" x14ac:dyDescent="0.25">
      <c r="C60" s="2" t="s">
        <v>75</v>
      </c>
      <c r="D60" s="9">
        <v>46344</v>
      </c>
      <c r="E60" s="2" t="s">
        <v>192</v>
      </c>
      <c r="F60" s="2" t="s">
        <v>18</v>
      </c>
      <c r="G60" s="2">
        <v>11</v>
      </c>
      <c r="H60" s="4">
        <v>674577</v>
      </c>
      <c r="I60" s="26">
        <f>Tabla13[[#This Row],[Cantidad]]*Tabla13[[#This Row],[Precio_Unitario]]</f>
        <v>7420347</v>
      </c>
      <c r="J60" s="26">
        <f t="shared" si="3"/>
        <v>445220.82</v>
      </c>
    </row>
    <row r="61" spans="3:10" x14ac:dyDescent="0.25">
      <c r="C61" s="2" t="s">
        <v>76</v>
      </c>
      <c r="D61" s="9">
        <v>46044</v>
      </c>
      <c r="E61" s="2" t="s">
        <v>193</v>
      </c>
      <c r="F61" s="2" t="s">
        <v>20</v>
      </c>
      <c r="G61" s="2">
        <v>9</v>
      </c>
      <c r="H61" s="4">
        <v>723998</v>
      </c>
      <c r="I61" s="26">
        <f>Tabla13[[#This Row],[Cantidad]]*Tabla13[[#This Row],[Precio_Unitario]]</f>
        <v>6515982</v>
      </c>
      <c r="J61" s="26">
        <f t="shared" si="3"/>
        <v>390958.92</v>
      </c>
    </row>
    <row r="62" spans="3:10" x14ac:dyDescent="0.25">
      <c r="C62" s="2" t="s">
        <v>77</v>
      </c>
      <c r="D62" s="9">
        <v>46208</v>
      </c>
      <c r="E62" s="2" t="s">
        <v>194</v>
      </c>
      <c r="F62" s="2" t="s">
        <v>64</v>
      </c>
      <c r="G62" s="2">
        <v>11</v>
      </c>
      <c r="H62" s="4">
        <v>328201</v>
      </c>
      <c r="I62" s="26">
        <f>Tabla13[[#This Row],[Cantidad]]*Tabla13[[#This Row],[Precio_Unitario]]</f>
        <v>3610211</v>
      </c>
      <c r="J62" s="26">
        <f t="shared" si="3"/>
        <v>216612.66</v>
      </c>
    </row>
    <row r="63" spans="3:10" x14ac:dyDescent="0.25">
      <c r="C63" s="2" t="s">
        <v>78</v>
      </c>
      <c r="D63" s="9">
        <v>46326</v>
      </c>
      <c r="E63" s="2" t="s">
        <v>195</v>
      </c>
      <c r="F63" s="2" t="s">
        <v>7</v>
      </c>
      <c r="G63" s="2">
        <v>2</v>
      </c>
      <c r="H63" s="4">
        <v>337477</v>
      </c>
      <c r="I63" s="26">
        <f>Tabla13[[#This Row],[Cantidad]]*Tabla13[[#This Row],[Precio_Unitario]]</f>
        <v>674954</v>
      </c>
      <c r="J63" s="26">
        <f t="shared" si="3"/>
        <v>13499.08</v>
      </c>
    </row>
    <row r="64" spans="3:10" x14ac:dyDescent="0.25">
      <c r="C64" s="2" t="s">
        <v>79</v>
      </c>
      <c r="D64" s="9">
        <v>46335</v>
      </c>
      <c r="E64" s="2" t="s">
        <v>196</v>
      </c>
      <c r="F64" s="2" t="s">
        <v>23</v>
      </c>
      <c r="G64" s="2">
        <v>3</v>
      </c>
      <c r="H64" s="4">
        <v>556233</v>
      </c>
      <c r="I64" s="26">
        <f>Tabla13[[#This Row],[Cantidad]]*Tabla13[[#This Row],[Precio_Unitario]]</f>
        <v>1668699</v>
      </c>
      <c r="J64" s="26">
        <f t="shared" si="3"/>
        <v>66747.960000000006</v>
      </c>
    </row>
    <row r="65" spans="3:10" x14ac:dyDescent="0.25">
      <c r="C65" s="2" t="s">
        <v>80</v>
      </c>
      <c r="D65" s="9">
        <v>46382</v>
      </c>
      <c r="E65" s="2" t="s">
        <v>197</v>
      </c>
      <c r="F65" s="2" t="s">
        <v>7</v>
      </c>
      <c r="G65" s="2">
        <v>2</v>
      </c>
      <c r="H65" s="4">
        <v>298080</v>
      </c>
      <c r="I65" s="26">
        <f>Tabla13[[#This Row],[Cantidad]]*Tabla13[[#This Row],[Precio_Unitario]]</f>
        <v>596160</v>
      </c>
      <c r="J65" s="26">
        <f t="shared" si="3"/>
        <v>11923.2</v>
      </c>
    </row>
    <row r="66" spans="3:10" x14ac:dyDescent="0.25">
      <c r="C66" s="2" t="s">
        <v>81</v>
      </c>
      <c r="D66" s="9">
        <v>46376</v>
      </c>
      <c r="E66" s="2" t="s">
        <v>198</v>
      </c>
      <c r="F66" s="2" t="s">
        <v>64</v>
      </c>
      <c r="G66" s="2">
        <v>5</v>
      </c>
      <c r="H66" s="4">
        <v>277360</v>
      </c>
      <c r="I66" s="26">
        <f>Tabla13[[#This Row],[Cantidad]]*Tabla13[[#This Row],[Precio_Unitario]]</f>
        <v>1386800</v>
      </c>
      <c r="J66" s="26">
        <f t="shared" si="3"/>
        <v>55472</v>
      </c>
    </row>
    <row r="67" spans="3:10" x14ac:dyDescent="0.25">
      <c r="C67" s="2" t="s">
        <v>82</v>
      </c>
      <c r="D67" s="9">
        <v>46306</v>
      </c>
      <c r="E67" s="2" t="s">
        <v>199</v>
      </c>
      <c r="F67" s="2" t="s">
        <v>20</v>
      </c>
      <c r="G67" s="2">
        <v>6</v>
      </c>
      <c r="H67" s="4">
        <v>781996</v>
      </c>
      <c r="I67" s="26">
        <f>Tabla13[[#This Row],[Cantidad]]*Tabla13[[#This Row],[Precio_Unitario]]</f>
        <v>4691976</v>
      </c>
      <c r="J67" s="26">
        <f t="shared" si="3"/>
        <v>281518.56</v>
      </c>
    </row>
    <row r="68" spans="3:10" x14ac:dyDescent="0.25">
      <c r="C68" s="2" t="s">
        <v>83</v>
      </c>
      <c r="D68" s="9">
        <v>46184</v>
      </c>
      <c r="E68" s="2" t="s">
        <v>200</v>
      </c>
      <c r="F68" s="2" t="s">
        <v>10</v>
      </c>
      <c r="G68" s="2">
        <v>4</v>
      </c>
      <c r="H68" s="4">
        <v>271895</v>
      </c>
      <c r="I68" s="26">
        <f>Tabla13[[#This Row],[Cantidad]]*Tabla13[[#This Row],[Precio_Unitario]]</f>
        <v>1087580</v>
      </c>
      <c r="J68" s="26">
        <f t="shared" ref="J68:J99" si="4">IF(AND(I68&gt;3000000,G68&gt;=5),I68*0.06,IF(I68&gt;1000000,I68*0.04,I68*0.02))</f>
        <v>43503.200000000004</v>
      </c>
    </row>
    <row r="69" spans="3:10" x14ac:dyDescent="0.25">
      <c r="C69" s="2" t="s">
        <v>84</v>
      </c>
      <c r="D69" s="9">
        <v>46291</v>
      </c>
      <c r="E69" s="2" t="s">
        <v>201</v>
      </c>
      <c r="F69" s="2" t="s">
        <v>7</v>
      </c>
      <c r="G69" s="2">
        <v>6</v>
      </c>
      <c r="H69" s="4">
        <v>233158</v>
      </c>
      <c r="I69" s="26">
        <f>Tabla13[[#This Row],[Cantidad]]*Tabla13[[#This Row],[Precio_Unitario]]</f>
        <v>1398948</v>
      </c>
      <c r="J69" s="26">
        <f t="shared" si="4"/>
        <v>55957.919999999998</v>
      </c>
    </row>
    <row r="70" spans="3:10" x14ac:dyDescent="0.25">
      <c r="C70" s="2" t="s">
        <v>85</v>
      </c>
      <c r="D70" s="9">
        <v>46050</v>
      </c>
      <c r="E70" s="2" t="s">
        <v>202</v>
      </c>
      <c r="F70" s="2" t="s">
        <v>7</v>
      </c>
      <c r="G70" s="2">
        <v>2</v>
      </c>
      <c r="H70" s="4">
        <v>57861</v>
      </c>
      <c r="I70" s="26">
        <f>Tabla13[[#This Row],[Cantidad]]*Tabla13[[#This Row],[Precio_Unitario]]</f>
        <v>115722</v>
      </c>
      <c r="J70" s="26">
        <f t="shared" si="4"/>
        <v>2314.44</v>
      </c>
    </row>
    <row r="71" spans="3:10" x14ac:dyDescent="0.25">
      <c r="C71" s="2" t="s">
        <v>86</v>
      </c>
      <c r="D71" s="9">
        <v>46049</v>
      </c>
      <c r="E71" s="2" t="s">
        <v>203</v>
      </c>
      <c r="F71" s="2" t="s">
        <v>7</v>
      </c>
      <c r="G71" s="2">
        <v>8</v>
      </c>
      <c r="H71" s="4">
        <v>122680</v>
      </c>
      <c r="I71" s="26">
        <f>Tabla13[[#This Row],[Cantidad]]*Tabla13[[#This Row],[Precio_Unitario]]</f>
        <v>981440</v>
      </c>
      <c r="J71" s="26">
        <f t="shared" si="4"/>
        <v>19628.8</v>
      </c>
    </row>
    <row r="72" spans="3:10" x14ac:dyDescent="0.25">
      <c r="C72" s="2" t="s">
        <v>87</v>
      </c>
      <c r="D72" s="9">
        <v>46178</v>
      </c>
      <c r="E72" s="2" t="s">
        <v>204</v>
      </c>
      <c r="F72" s="2" t="s">
        <v>10</v>
      </c>
      <c r="G72" s="2">
        <v>10</v>
      </c>
      <c r="H72" s="4">
        <v>670084</v>
      </c>
      <c r="I72" s="26">
        <f>Tabla13[[#This Row],[Cantidad]]*Tabla13[[#This Row],[Precio_Unitario]]</f>
        <v>6700840</v>
      </c>
      <c r="J72" s="26">
        <f t="shared" si="4"/>
        <v>402050.39999999997</v>
      </c>
    </row>
    <row r="73" spans="3:10" x14ac:dyDescent="0.25">
      <c r="C73" s="2" t="s">
        <v>88</v>
      </c>
      <c r="D73" s="9">
        <v>46253</v>
      </c>
      <c r="E73" s="2" t="s">
        <v>205</v>
      </c>
      <c r="F73" s="2" t="s">
        <v>64</v>
      </c>
      <c r="G73" s="2">
        <v>5</v>
      </c>
      <c r="H73" s="4">
        <v>641251</v>
      </c>
      <c r="I73" s="26">
        <f>Tabla13[[#This Row],[Cantidad]]*Tabla13[[#This Row],[Precio_Unitario]]</f>
        <v>3206255</v>
      </c>
      <c r="J73" s="26">
        <f t="shared" si="4"/>
        <v>192375.3</v>
      </c>
    </row>
    <row r="74" spans="3:10" x14ac:dyDescent="0.25">
      <c r="C74" s="2" t="s">
        <v>89</v>
      </c>
      <c r="D74" s="9">
        <v>46129</v>
      </c>
      <c r="E74" s="2" t="s">
        <v>206</v>
      </c>
      <c r="F74" s="2" t="s">
        <v>18</v>
      </c>
      <c r="G74" s="2">
        <v>3</v>
      </c>
      <c r="H74" s="4">
        <v>623805</v>
      </c>
      <c r="I74" s="26">
        <f>Tabla13[[#This Row],[Cantidad]]*Tabla13[[#This Row],[Precio_Unitario]]</f>
        <v>1871415</v>
      </c>
      <c r="J74" s="26">
        <f t="shared" si="4"/>
        <v>74856.600000000006</v>
      </c>
    </row>
    <row r="75" spans="3:10" x14ac:dyDescent="0.25">
      <c r="C75" s="2" t="s">
        <v>90</v>
      </c>
      <c r="D75" s="9">
        <v>46172</v>
      </c>
      <c r="E75" s="2" t="s">
        <v>207</v>
      </c>
      <c r="F75" s="2" t="s">
        <v>28</v>
      </c>
      <c r="G75" s="2">
        <v>8</v>
      </c>
      <c r="H75" s="4">
        <v>119637</v>
      </c>
      <c r="I75" s="26">
        <f>Tabla13[[#This Row],[Cantidad]]*Tabla13[[#This Row],[Precio_Unitario]]</f>
        <v>957096</v>
      </c>
      <c r="J75" s="26">
        <f t="shared" si="4"/>
        <v>19141.920000000002</v>
      </c>
    </row>
    <row r="76" spans="3:10" x14ac:dyDescent="0.25">
      <c r="C76" s="2" t="s">
        <v>91</v>
      </c>
      <c r="D76" s="9">
        <v>46361</v>
      </c>
      <c r="E76" s="2" t="s">
        <v>208</v>
      </c>
      <c r="F76" s="2" t="s">
        <v>18</v>
      </c>
      <c r="G76" s="2">
        <v>3</v>
      </c>
      <c r="H76" s="4">
        <v>323535</v>
      </c>
      <c r="I76" s="26">
        <f>Tabla13[[#This Row],[Cantidad]]*Tabla13[[#This Row],[Precio_Unitario]]</f>
        <v>970605</v>
      </c>
      <c r="J76" s="26">
        <f t="shared" si="4"/>
        <v>19412.100000000002</v>
      </c>
    </row>
    <row r="77" spans="3:10" x14ac:dyDescent="0.25">
      <c r="C77" s="2" t="s">
        <v>92</v>
      </c>
      <c r="D77" s="9">
        <v>46180</v>
      </c>
      <c r="E77" s="2" t="s">
        <v>209</v>
      </c>
      <c r="F77" s="2" t="s">
        <v>7</v>
      </c>
      <c r="G77" s="2">
        <v>12</v>
      </c>
      <c r="H77" s="4">
        <v>467060</v>
      </c>
      <c r="I77" s="26">
        <f>Tabla13[[#This Row],[Cantidad]]*Tabla13[[#This Row],[Precio_Unitario]]</f>
        <v>5604720</v>
      </c>
      <c r="J77" s="26">
        <f t="shared" si="4"/>
        <v>336283.2</v>
      </c>
    </row>
    <row r="78" spans="3:10" x14ac:dyDescent="0.25">
      <c r="C78" s="2" t="s">
        <v>93</v>
      </c>
      <c r="D78" s="9">
        <v>46064</v>
      </c>
      <c r="E78" s="2" t="s">
        <v>210</v>
      </c>
      <c r="F78" s="2" t="s">
        <v>28</v>
      </c>
      <c r="G78" s="2">
        <v>1</v>
      </c>
      <c r="H78" s="4">
        <v>140763</v>
      </c>
      <c r="I78" s="26">
        <f>Tabla13[[#This Row],[Cantidad]]*Tabla13[[#This Row],[Precio_Unitario]]</f>
        <v>140763</v>
      </c>
      <c r="J78" s="26">
        <f t="shared" si="4"/>
        <v>2815.26</v>
      </c>
    </row>
    <row r="79" spans="3:10" x14ac:dyDescent="0.25">
      <c r="C79" s="2" t="s">
        <v>94</v>
      </c>
      <c r="D79" s="9">
        <v>46033</v>
      </c>
      <c r="E79" s="2" t="s">
        <v>211</v>
      </c>
      <c r="F79" s="2" t="s">
        <v>7</v>
      </c>
      <c r="G79" s="2">
        <v>8</v>
      </c>
      <c r="H79" s="4">
        <v>589173</v>
      </c>
      <c r="I79" s="26">
        <f>Tabla13[[#This Row],[Cantidad]]*Tabla13[[#This Row],[Precio_Unitario]]</f>
        <v>4713384</v>
      </c>
      <c r="J79" s="26">
        <f t="shared" si="4"/>
        <v>282803.03999999998</v>
      </c>
    </row>
    <row r="80" spans="3:10" x14ac:dyDescent="0.25">
      <c r="C80" s="2" t="s">
        <v>95</v>
      </c>
      <c r="D80" s="9">
        <v>46348</v>
      </c>
      <c r="E80" s="2" t="s">
        <v>212</v>
      </c>
      <c r="F80" s="2" t="s">
        <v>64</v>
      </c>
      <c r="G80" s="2">
        <v>6</v>
      </c>
      <c r="H80" s="4">
        <v>747685</v>
      </c>
      <c r="I80" s="26">
        <f>Tabla13[[#This Row],[Cantidad]]*Tabla13[[#This Row],[Precio_Unitario]]</f>
        <v>4486110</v>
      </c>
      <c r="J80" s="26">
        <f t="shared" si="4"/>
        <v>269166.59999999998</v>
      </c>
    </row>
    <row r="81" spans="3:10" x14ac:dyDescent="0.25">
      <c r="C81" s="2" t="s">
        <v>96</v>
      </c>
      <c r="D81" s="9">
        <v>46362</v>
      </c>
      <c r="E81" s="2" t="s">
        <v>213</v>
      </c>
      <c r="F81" s="2" t="s">
        <v>23</v>
      </c>
      <c r="G81" s="2">
        <v>5</v>
      </c>
      <c r="H81" s="4">
        <v>383977</v>
      </c>
      <c r="I81" s="26">
        <f>Tabla13[[#This Row],[Cantidad]]*Tabla13[[#This Row],[Precio_Unitario]]</f>
        <v>1919885</v>
      </c>
      <c r="J81" s="26">
        <f t="shared" si="4"/>
        <v>76795.400000000009</v>
      </c>
    </row>
    <row r="82" spans="3:10" x14ac:dyDescent="0.25">
      <c r="C82" s="2" t="s">
        <v>97</v>
      </c>
      <c r="D82" s="9">
        <v>46023</v>
      </c>
      <c r="E82" s="2" t="s">
        <v>214</v>
      </c>
      <c r="F82" s="2" t="s">
        <v>64</v>
      </c>
      <c r="G82" s="2">
        <v>10</v>
      </c>
      <c r="H82" s="4">
        <v>838188</v>
      </c>
      <c r="I82" s="26">
        <f>Tabla13[[#This Row],[Cantidad]]*Tabla13[[#This Row],[Precio_Unitario]]</f>
        <v>8381880</v>
      </c>
      <c r="J82" s="26">
        <f t="shared" si="4"/>
        <v>502912.8</v>
      </c>
    </row>
    <row r="83" spans="3:10" x14ac:dyDescent="0.25">
      <c r="C83" s="2" t="s">
        <v>98</v>
      </c>
      <c r="D83" s="9">
        <v>46090</v>
      </c>
      <c r="E83" s="2" t="s">
        <v>215</v>
      </c>
      <c r="F83" s="2" t="s">
        <v>7</v>
      </c>
      <c r="G83" s="2">
        <v>1</v>
      </c>
      <c r="H83" s="4">
        <v>705626</v>
      </c>
      <c r="I83" s="26">
        <f>Tabla13[[#This Row],[Cantidad]]*Tabla13[[#This Row],[Precio_Unitario]]</f>
        <v>705626</v>
      </c>
      <c r="J83" s="26">
        <f t="shared" si="4"/>
        <v>14112.52</v>
      </c>
    </row>
    <row r="84" spans="3:10" x14ac:dyDescent="0.25">
      <c r="C84" s="2" t="s">
        <v>99</v>
      </c>
      <c r="D84" s="9">
        <v>46305</v>
      </c>
      <c r="E84" s="2" t="s">
        <v>216</v>
      </c>
      <c r="F84" s="2" t="s">
        <v>23</v>
      </c>
      <c r="G84" s="2">
        <v>2</v>
      </c>
      <c r="H84" s="4">
        <v>528863</v>
      </c>
      <c r="I84" s="26">
        <f>Tabla13[[#This Row],[Cantidad]]*Tabla13[[#This Row],[Precio_Unitario]]</f>
        <v>1057726</v>
      </c>
      <c r="J84" s="26">
        <f t="shared" si="4"/>
        <v>42309.04</v>
      </c>
    </row>
    <row r="85" spans="3:10" x14ac:dyDescent="0.25">
      <c r="C85" s="2" t="s">
        <v>100</v>
      </c>
      <c r="D85" s="8">
        <v>46172</v>
      </c>
      <c r="E85" s="2" t="s">
        <v>217</v>
      </c>
      <c r="F85" s="2" t="s">
        <v>7</v>
      </c>
      <c r="G85" s="2">
        <v>4</v>
      </c>
      <c r="H85" s="4">
        <v>523975</v>
      </c>
      <c r="I85" s="26">
        <f>Tabla13[[#This Row],[Cantidad]]*Tabla13[[#This Row],[Precio_Unitario]]</f>
        <v>2095900</v>
      </c>
      <c r="J85" s="26">
        <f t="shared" si="4"/>
        <v>83836</v>
      </c>
    </row>
    <row r="86" spans="3:10" x14ac:dyDescent="0.25">
      <c r="C86" s="2" t="s">
        <v>101</v>
      </c>
      <c r="D86" s="9">
        <v>46283</v>
      </c>
      <c r="E86" s="2" t="s">
        <v>218</v>
      </c>
      <c r="F86" s="2" t="s">
        <v>37</v>
      </c>
      <c r="G86" s="2">
        <v>7</v>
      </c>
      <c r="H86" s="4">
        <v>401385</v>
      </c>
      <c r="I86" s="26">
        <f>Tabla13[[#This Row],[Cantidad]]*Tabla13[[#This Row],[Precio_Unitario]]</f>
        <v>2809695</v>
      </c>
      <c r="J86" s="26">
        <f t="shared" si="4"/>
        <v>112387.8</v>
      </c>
    </row>
    <row r="87" spans="3:10" x14ac:dyDescent="0.25">
      <c r="C87" s="2" t="s">
        <v>102</v>
      </c>
      <c r="D87" s="9">
        <v>46167</v>
      </c>
      <c r="E87" s="2" t="s">
        <v>219</v>
      </c>
      <c r="F87" s="2" t="s">
        <v>7</v>
      </c>
      <c r="G87" s="2">
        <v>3</v>
      </c>
      <c r="H87" s="4">
        <v>513238</v>
      </c>
      <c r="I87" s="26">
        <f>Tabla13[[#This Row],[Cantidad]]*Tabla13[[#This Row],[Precio_Unitario]]</f>
        <v>1539714</v>
      </c>
      <c r="J87" s="26">
        <f t="shared" si="4"/>
        <v>61588.56</v>
      </c>
    </row>
    <row r="88" spans="3:10" x14ac:dyDescent="0.25">
      <c r="C88" s="2" t="s">
        <v>103</v>
      </c>
      <c r="D88" s="9">
        <v>46256</v>
      </c>
      <c r="E88" s="2" t="s">
        <v>220</v>
      </c>
      <c r="F88" s="2" t="s">
        <v>20</v>
      </c>
      <c r="G88" s="2">
        <v>7</v>
      </c>
      <c r="H88" s="4">
        <v>289907</v>
      </c>
      <c r="I88" s="26">
        <f>Tabla13[[#This Row],[Cantidad]]*Tabla13[[#This Row],[Precio_Unitario]]</f>
        <v>2029349</v>
      </c>
      <c r="J88" s="26">
        <f t="shared" si="4"/>
        <v>81173.960000000006</v>
      </c>
    </row>
    <row r="89" spans="3:10" x14ac:dyDescent="0.25">
      <c r="C89" s="2" t="s">
        <v>104</v>
      </c>
      <c r="D89" s="9">
        <v>46265</v>
      </c>
      <c r="E89" s="2" t="s">
        <v>221</v>
      </c>
      <c r="F89" s="2" t="s">
        <v>23</v>
      </c>
      <c r="G89" s="2">
        <v>11</v>
      </c>
      <c r="H89" s="4">
        <v>204493</v>
      </c>
      <c r="I89" s="26">
        <f>Tabla13[[#This Row],[Cantidad]]*Tabla13[[#This Row],[Precio_Unitario]]</f>
        <v>2249423</v>
      </c>
      <c r="J89" s="26">
        <f t="shared" si="4"/>
        <v>89976.92</v>
      </c>
    </row>
    <row r="90" spans="3:10" x14ac:dyDescent="0.25">
      <c r="C90" s="2" t="s">
        <v>105</v>
      </c>
      <c r="D90" s="9">
        <v>46074</v>
      </c>
      <c r="E90" s="2" t="s">
        <v>222</v>
      </c>
      <c r="F90" s="2" t="s">
        <v>64</v>
      </c>
      <c r="G90" s="2">
        <v>12</v>
      </c>
      <c r="H90" s="4">
        <v>196157</v>
      </c>
      <c r="I90" s="26">
        <f>Tabla13[[#This Row],[Cantidad]]*Tabla13[[#This Row],[Precio_Unitario]]</f>
        <v>2353884</v>
      </c>
      <c r="J90" s="26">
        <f t="shared" si="4"/>
        <v>94155.36</v>
      </c>
    </row>
    <row r="91" spans="3:10" x14ac:dyDescent="0.25">
      <c r="C91" s="2" t="s">
        <v>106</v>
      </c>
      <c r="D91" s="9">
        <v>46158</v>
      </c>
      <c r="E91" s="2" t="s">
        <v>223</v>
      </c>
      <c r="F91" s="2" t="s">
        <v>20</v>
      </c>
      <c r="G91" s="2">
        <v>6</v>
      </c>
      <c r="H91" s="4">
        <v>752115</v>
      </c>
      <c r="I91" s="26">
        <f>Tabla13[[#This Row],[Cantidad]]*Tabla13[[#This Row],[Precio_Unitario]]</f>
        <v>4512690</v>
      </c>
      <c r="J91" s="26">
        <f t="shared" si="4"/>
        <v>270761.39999999997</v>
      </c>
    </row>
    <row r="92" spans="3:10" x14ac:dyDescent="0.25">
      <c r="C92" s="2" t="s">
        <v>107</v>
      </c>
      <c r="D92" s="9">
        <v>46272</v>
      </c>
      <c r="E92" s="2" t="s">
        <v>224</v>
      </c>
      <c r="F92" s="2" t="s">
        <v>28</v>
      </c>
      <c r="G92" s="2">
        <v>5</v>
      </c>
      <c r="H92" s="4">
        <v>283536</v>
      </c>
      <c r="I92" s="26">
        <f>Tabla13[[#This Row],[Cantidad]]*Tabla13[[#This Row],[Precio_Unitario]]</f>
        <v>1417680</v>
      </c>
      <c r="J92" s="26">
        <f t="shared" si="4"/>
        <v>56707.200000000004</v>
      </c>
    </row>
    <row r="93" spans="3:10" x14ac:dyDescent="0.25">
      <c r="C93" s="2" t="s">
        <v>108</v>
      </c>
      <c r="D93" s="9">
        <v>46347</v>
      </c>
      <c r="E93" s="2" t="s">
        <v>225</v>
      </c>
      <c r="F93" s="2" t="s">
        <v>10</v>
      </c>
      <c r="G93" s="2">
        <v>1</v>
      </c>
      <c r="H93" s="4">
        <v>93225</v>
      </c>
      <c r="I93" s="26">
        <f>Tabla13[[#This Row],[Cantidad]]*Tabla13[[#This Row],[Precio_Unitario]]</f>
        <v>93225</v>
      </c>
      <c r="J93" s="26">
        <f t="shared" si="4"/>
        <v>1864.5</v>
      </c>
    </row>
    <row r="94" spans="3:10" x14ac:dyDescent="0.25">
      <c r="C94" s="2" t="s">
        <v>109</v>
      </c>
      <c r="D94" s="9">
        <v>46148</v>
      </c>
      <c r="E94" s="2" t="s">
        <v>226</v>
      </c>
      <c r="F94" s="2" t="s">
        <v>23</v>
      </c>
      <c r="G94" s="2">
        <v>3</v>
      </c>
      <c r="H94" s="4">
        <v>127804</v>
      </c>
      <c r="I94" s="26">
        <f>Tabla13[[#This Row],[Cantidad]]*Tabla13[[#This Row],[Precio_Unitario]]</f>
        <v>383412</v>
      </c>
      <c r="J94" s="26">
        <f t="shared" si="4"/>
        <v>7668.24</v>
      </c>
    </row>
    <row r="95" spans="3:10" x14ac:dyDescent="0.25">
      <c r="C95" s="2" t="s">
        <v>110</v>
      </c>
      <c r="D95" s="9">
        <v>46321</v>
      </c>
      <c r="E95" s="2" t="s">
        <v>227</v>
      </c>
      <c r="F95" s="2" t="s">
        <v>37</v>
      </c>
      <c r="G95" s="2">
        <v>5</v>
      </c>
      <c r="H95" s="4">
        <v>744233</v>
      </c>
      <c r="I95" s="26">
        <f>Tabla13[[#This Row],[Cantidad]]*Tabla13[[#This Row],[Precio_Unitario]]</f>
        <v>3721165</v>
      </c>
      <c r="J95" s="26">
        <f t="shared" si="4"/>
        <v>223269.9</v>
      </c>
    </row>
    <row r="96" spans="3:10" x14ac:dyDescent="0.25">
      <c r="C96" s="2" t="s">
        <v>111</v>
      </c>
      <c r="D96" s="9">
        <v>46103</v>
      </c>
      <c r="E96" s="2" t="s">
        <v>228</v>
      </c>
      <c r="F96" s="2" t="s">
        <v>10</v>
      </c>
      <c r="G96" s="2">
        <v>5</v>
      </c>
      <c r="H96" s="4">
        <v>714975</v>
      </c>
      <c r="I96" s="26">
        <f>Tabla13[[#This Row],[Cantidad]]*Tabla13[[#This Row],[Precio_Unitario]]</f>
        <v>3574875</v>
      </c>
      <c r="J96" s="26">
        <f t="shared" si="4"/>
        <v>214492.5</v>
      </c>
    </row>
    <row r="97" spans="3:10" x14ac:dyDescent="0.25">
      <c r="C97" s="2" t="s">
        <v>112</v>
      </c>
      <c r="D97" s="9">
        <v>46177</v>
      </c>
      <c r="E97" s="2" t="s">
        <v>229</v>
      </c>
      <c r="F97" s="2" t="s">
        <v>18</v>
      </c>
      <c r="G97" s="2">
        <v>7</v>
      </c>
      <c r="H97" s="4">
        <v>644704</v>
      </c>
      <c r="I97" s="26">
        <f>Tabla13[[#This Row],[Cantidad]]*Tabla13[[#This Row],[Precio_Unitario]]</f>
        <v>4512928</v>
      </c>
      <c r="J97" s="26">
        <f t="shared" si="4"/>
        <v>270775.67999999999</v>
      </c>
    </row>
    <row r="98" spans="3:10" x14ac:dyDescent="0.25">
      <c r="C98" s="2" t="s">
        <v>113</v>
      </c>
      <c r="D98" s="9">
        <v>46360</v>
      </c>
      <c r="E98" s="2" t="s">
        <v>230</v>
      </c>
      <c r="F98" s="2" t="s">
        <v>23</v>
      </c>
      <c r="G98" s="2">
        <v>12</v>
      </c>
      <c r="H98" s="4">
        <v>96426</v>
      </c>
      <c r="I98" s="26">
        <f>Tabla13[[#This Row],[Cantidad]]*Tabla13[[#This Row],[Precio_Unitario]]</f>
        <v>1157112</v>
      </c>
      <c r="J98" s="26">
        <f t="shared" si="4"/>
        <v>46284.480000000003</v>
      </c>
    </row>
    <row r="99" spans="3:10" x14ac:dyDescent="0.25">
      <c r="C99" s="2" t="s">
        <v>114</v>
      </c>
      <c r="D99" s="9">
        <v>46169</v>
      </c>
      <c r="E99" s="2" t="s">
        <v>231</v>
      </c>
      <c r="F99" s="2" t="s">
        <v>18</v>
      </c>
      <c r="G99" s="2">
        <v>4</v>
      </c>
      <c r="H99" s="4">
        <v>696051</v>
      </c>
      <c r="I99" s="26">
        <f>Tabla13[[#This Row],[Cantidad]]*Tabla13[[#This Row],[Precio_Unitario]]</f>
        <v>2784204</v>
      </c>
      <c r="J99" s="26">
        <f t="shared" si="4"/>
        <v>111368.16</v>
      </c>
    </row>
    <row r="100" spans="3:10" x14ac:dyDescent="0.25">
      <c r="C100" s="2" t="s">
        <v>115</v>
      </c>
      <c r="D100" s="9">
        <v>46093</v>
      </c>
      <c r="E100" s="2" t="s">
        <v>232</v>
      </c>
      <c r="F100" s="2" t="s">
        <v>10</v>
      </c>
      <c r="G100" s="2">
        <v>10</v>
      </c>
      <c r="H100" s="4">
        <v>427584</v>
      </c>
      <c r="I100" s="26">
        <f>Tabla13[[#This Row],[Cantidad]]*Tabla13[[#This Row],[Precio_Unitario]]</f>
        <v>4275840</v>
      </c>
      <c r="J100" s="26">
        <f t="shared" ref="J100:J103" si="5">IF(AND(I100&gt;3000000,G100&gt;=5),I100*0.06,IF(I100&gt;1000000,I100*0.04,I100*0.02))</f>
        <v>256550.39999999999</v>
      </c>
    </row>
    <row r="101" spans="3:10" x14ac:dyDescent="0.25">
      <c r="C101" s="2" t="s">
        <v>116</v>
      </c>
      <c r="D101" s="9">
        <v>46235</v>
      </c>
      <c r="E101" s="2" t="s">
        <v>233</v>
      </c>
      <c r="F101" s="2" t="s">
        <v>37</v>
      </c>
      <c r="G101" s="2">
        <v>6</v>
      </c>
      <c r="H101" s="4">
        <v>601639</v>
      </c>
      <c r="I101" s="26">
        <f>Tabla13[[#This Row],[Cantidad]]*Tabla13[[#This Row],[Precio_Unitario]]</f>
        <v>3609834</v>
      </c>
      <c r="J101" s="26">
        <f t="shared" si="5"/>
        <v>216590.03999999998</v>
      </c>
    </row>
    <row r="102" spans="3:10" x14ac:dyDescent="0.25">
      <c r="C102" s="2" t="s">
        <v>117</v>
      </c>
      <c r="D102" s="9">
        <v>46269</v>
      </c>
      <c r="E102" s="2" t="s">
        <v>234</v>
      </c>
      <c r="F102" s="2" t="s">
        <v>7</v>
      </c>
      <c r="G102" s="2">
        <v>2</v>
      </c>
      <c r="H102" s="4">
        <v>192594</v>
      </c>
      <c r="I102" s="26">
        <f>Tabla13[[#This Row],[Cantidad]]*Tabla13[[#This Row],[Precio_Unitario]]</f>
        <v>385188</v>
      </c>
      <c r="J102" s="26">
        <f t="shared" si="5"/>
        <v>7703.76</v>
      </c>
    </row>
    <row r="103" spans="3:10" x14ac:dyDescent="0.25">
      <c r="C103" s="2" t="s">
        <v>118</v>
      </c>
      <c r="D103" s="9">
        <v>46368</v>
      </c>
      <c r="E103" s="2" t="s">
        <v>235</v>
      </c>
      <c r="F103" s="2" t="s">
        <v>23</v>
      </c>
      <c r="G103" s="2">
        <v>1</v>
      </c>
      <c r="H103" s="4">
        <v>322304</v>
      </c>
      <c r="I103" s="26">
        <f>Tabla13[[#This Row],[Cantidad]]*Tabla13[[#This Row],[Precio_Unitario]]</f>
        <v>322304</v>
      </c>
      <c r="J103" s="26">
        <f t="shared" si="5"/>
        <v>6446.08</v>
      </c>
    </row>
  </sheetData>
  <mergeCells count="2">
    <mergeCell ref="L4:N10"/>
    <mergeCell ref="L13:N14"/>
  </mergeCells>
  <pageMargins left="0.7" right="0.7" top="0.75" bottom="0.75" header="0.3" footer="0.3"/>
  <tableParts count="2">
    <tablePart r:id="rId1"/>
    <tablePart r:id="rId2"/>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F14A9E-A76A-4539-A97F-B9F66D06BD14}">
  <sheetPr>
    <tabColor theme="9" tint="-0.249977111117893"/>
  </sheetPr>
  <dimension ref="A1:F17"/>
  <sheetViews>
    <sheetView topLeftCell="B1" workbookViewId="0">
      <selection activeCell="C15" sqref="C15"/>
    </sheetView>
  </sheetViews>
  <sheetFormatPr baseColWidth="10" defaultRowHeight="15" x14ac:dyDescent="0.25"/>
  <cols>
    <col min="2" max="2" width="16.28515625" customWidth="1"/>
    <col min="3" max="3" width="26" customWidth="1"/>
    <col min="4" max="4" width="37.28515625" customWidth="1"/>
    <col min="5" max="5" width="16.5703125" style="11" bestFit="1" customWidth="1"/>
    <col min="6" max="6" width="17.42578125" style="11" bestFit="1" customWidth="1"/>
  </cols>
  <sheetData>
    <row r="1" spans="1:6" x14ac:dyDescent="0.25">
      <c r="A1" t="s">
        <v>341</v>
      </c>
      <c r="B1" t="s">
        <v>342</v>
      </c>
      <c r="C1" t="s">
        <v>343</v>
      </c>
      <c r="D1" t="s">
        <v>344</v>
      </c>
      <c r="E1" s="18" t="s">
        <v>345</v>
      </c>
      <c r="F1" s="18" t="s">
        <v>346</v>
      </c>
    </row>
    <row r="2" spans="1:6" x14ac:dyDescent="0.25">
      <c r="A2" s="16">
        <v>46023</v>
      </c>
      <c r="B2" s="11">
        <v>29282604</v>
      </c>
      <c r="C2" s="23"/>
      <c r="D2" s="23"/>
      <c r="E2" s="24" t="str">
        <f t="shared" ref="E2:E17" si="0">IF(C2="","",C2-D2)</f>
        <v/>
      </c>
      <c r="F2" s="25" t="str">
        <f t="shared" ref="F2:F17" si="1">IF(C2="","",C2+D2)</f>
        <v/>
      </c>
    </row>
    <row r="3" spans="1:6" x14ac:dyDescent="0.25">
      <c r="A3" s="16">
        <v>46054</v>
      </c>
      <c r="B3" s="11">
        <v>16709861</v>
      </c>
      <c r="C3" s="23"/>
      <c r="D3" s="23"/>
      <c r="E3" s="24" t="str">
        <f t="shared" si="0"/>
        <v/>
      </c>
      <c r="F3" s="24" t="str">
        <f t="shared" si="1"/>
        <v/>
      </c>
    </row>
    <row r="4" spans="1:6" x14ac:dyDescent="0.25">
      <c r="A4" s="16">
        <v>46082</v>
      </c>
      <c r="B4" s="11">
        <v>13354869</v>
      </c>
      <c r="C4" s="23"/>
      <c r="D4" s="23"/>
      <c r="E4" s="24" t="str">
        <f t="shared" si="0"/>
        <v/>
      </c>
      <c r="F4" s="24" t="str">
        <f t="shared" si="1"/>
        <v/>
      </c>
    </row>
    <row r="5" spans="1:6" x14ac:dyDescent="0.25">
      <c r="A5" s="16">
        <v>46113</v>
      </c>
      <c r="B5" s="11">
        <v>21947424</v>
      </c>
      <c r="C5" s="23"/>
      <c r="D5" s="23"/>
      <c r="E5" s="24" t="str">
        <f t="shared" si="0"/>
        <v/>
      </c>
      <c r="F5" s="24" t="str">
        <f t="shared" si="1"/>
        <v/>
      </c>
    </row>
    <row r="6" spans="1:6" x14ac:dyDescent="0.25">
      <c r="A6" s="16">
        <v>46143</v>
      </c>
      <c r="B6" s="11">
        <v>21195597</v>
      </c>
      <c r="C6" s="23"/>
      <c r="D6" s="23"/>
      <c r="E6" s="24" t="str">
        <f t="shared" si="0"/>
        <v/>
      </c>
      <c r="F6" s="24" t="str">
        <f t="shared" si="1"/>
        <v/>
      </c>
    </row>
    <row r="7" spans="1:6" x14ac:dyDescent="0.25">
      <c r="A7" s="16">
        <v>46174</v>
      </c>
      <c r="B7" s="11">
        <v>20347776</v>
      </c>
      <c r="C7" s="23"/>
      <c r="D7" s="23"/>
      <c r="E7" s="24" t="str">
        <f t="shared" si="0"/>
        <v/>
      </c>
      <c r="F7" s="24" t="str">
        <f t="shared" si="1"/>
        <v/>
      </c>
    </row>
    <row r="8" spans="1:6" x14ac:dyDescent="0.25">
      <c r="A8" s="16">
        <v>46204</v>
      </c>
      <c r="B8" s="11">
        <v>9593996</v>
      </c>
      <c r="C8" s="23"/>
      <c r="D8" s="23"/>
      <c r="E8" s="24" t="str">
        <f t="shared" si="0"/>
        <v/>
      </c>
      <c r="F8" s="24" t="str">
        <f t="shared" si="1"/>
        <v/>
      </c>
    </row>
    <row r="9" spans="1:6" x14ac:dyDescent="0.25">
      <c r="A9" s="16">
        <v>46235</v>
      </c>
      <c r="B9" s="11">
        <v>47002364</v>
      </c>
      <c r="C9" s="23"/>
      <c r="D9" s="23"/>
      <c r="E9" s="24" t="str">
        <f t="shared" si="0"/>
        <v/>
      </c>
      <c r="F9" s="24" t="str">
        <f t="shared" si="1"/>
        <v/>
      </c>
    </row>
    <row r="10" spans="1:6" x14ac:dyDescent="0.25">
      <c r="A10" s="16">
        <v>46266</v>
      </c>
      <c r="B10" s="11">
        <v>17428362</v>
      </c>
      <c r="C10" s="23"/>
      <c r="D10" s="23"/>
      <c r="E10" s="24" t="str">
        <f t="shared" si="0"/>
        <v/>
      </c>
      <c r="F10" s="24" t="str">
        <f t="shared" si="1"/>
        <v/>
      </c>
    </row>
    <row r="11" spans="1:6" x14ac:dyDescent="0.25">
      <c r="A11" s="16">
        <v>46296</v>
      </c>
      <c r="B11" s="11">
        <v>24804003</v>
      </c>
      <c r="C11" s="23"/>
      <c r="D11" s="23"/>
      <c r="E11" s="24" t="str">
        <f t="shared" si="0"/>
        <v/>
      </c>
      <c r="F11" s="24" t="str">
        <f t="shared" si="1"/>
        <v/>
      </c>
    </row>
    <row r="12" spans="1:6" x14ac:dyDescent="0.25">
      <c r="A12" s="16">
        <v>46327</v>
      </c>
      <c r="B12" s="11">
        <v>19503917</v>
      </c>
      <c r="C12" s="23"/>
      <c r="D12" s="23"/>
      <c r="E12" s="24" t="str">
        <f t="shared" si="0"/>
        <v/>
      </c>
      <c r="F12" s="24" t="str">
        <f t="shared" si="1"/>
        <v/>
      </c>
    </row>
    <row r="13" spans="1:6" x14ac:dyDescent="0.25">
      <c r="A13" s="16">
        <v>46357</v>
      </c>
      <c r="B13" s="11">
        <v>21019233</v>
      </c>
      <c r="C13" s="23"/>
      <c r="D13" s="23"/>
      <c r="E13" s="24" t="str">
        <f t="shared" si="0"/>
        <v/>
      </c>
      <c r="F13" s="24" t="str">
        <f t="shared" si="1"/>
        <v/>
      </c>
    </row>
    <row r="14" spans="1:6" x14ac:dyDescent="0.25">
      <c r="A14" s="16">
        <v>46388</v>
      </c>
      <c r="C14" s="24">
        <f>_xlfn.FORECAST.ETS(A14,$B$2:$B$13,$A$2:$A$13,1,1)</f>
        <v>24588896.380580056</v>
      </c>
      <c r="D14" s="24">
        <f>_xlfn.FORECAST.ETS.CONFINT(A14,$B$2:$B$13,$A$2:$A$13,0.95,1,1)</f>
        <v>21062715.116294648</v>
      </c>
      <c r="E14" s="24">
        <f>IF(C14="","",C14-D14)</f>
        <v>3526181.264285408</v>
      </c>
      <c r="F14" s="24">
        <f t="shared" si="1"/>
        <v>45651611.496874705</v>
      </c>
    </row>
    <row r="15" spans="1:6" x14ac:dyDescent="0.25">
      <c r="A15" s="16">
        <v>46419</v>
      </c>
      <c r="C15" s="24">
        <f>_xlfn.FORECAST.ETS(A15,$B$2:$B$13,$A$2:$A$13,1,1)</f>
        <v>24740016.70675604</v>
      </c>
      <c r="D15" s="24">
        <f>_xlfn.FORECAST.ETS.CONFINT(A15,$B$2:$B$13,$A$2:$A$13,0.95,1,1)</f>
        <v>21231895.931762457</v>
      </c>
      <c r="E15" s="24">
        <f t="shared" si="0"/>
        <v>3508120.7749935836</v>
      </c>
      <c r="F15" s="24">
        <f t="shared" si="1"/>
        <v>45971912.638518497</v>
      </c>
    </row>
    <row r="16" spans="1:6" x14ac:dyDescent="0.25">
      <c r="A16" s="16">
        <v>46447</v>
      </c>
      <c r="C16" s="24">
        <f>_xlfn.FORECAST.ETS(A16,$B$2:$B$13,$A$2:$A$13,1,1)</f>
        <v>24891137.03293201</v>
      </c>
      <c r="D16" s="24">
        <f>_xlfn.FORECAST.ETS.CONFINT(A16,$B$2:$B$13,$A$2:$A$13,0.95,1,1)</f>
        <v>21402382.32828423</v>
      </c>
      <c r="E16" s="24">
        <f t="shared" si="0"/>
        <v>3488754.7046477795</v>
      </c>
      <c r="F16" s="24">
        <f t="shared" si="1"/>
        <v>46293519.36121624</v>
      </c>
    </row>
    <row r="17" spans="1:6" x14ac:dyDescent="0.25">
      <c r="A17" s="16">
        <v>46478</v>
      </c>
      <c r="C17" s="24">
        <f>_xlfn.FORECAST.ETS(A17,$B$2:$B$13,$A$2:$A$13,1,1)</f>
        <v>25042257.359107994</v>
      </c>
      <c r="D17" s="24">
        <f>_xlfn.FORECAST.ETS.CONFINT(A17,$B$2:$B$13,$A$2:$A$13,0.95,1,1)</f>
        <v>21574163.917814035</v>
      </c>
      <c r="E17" s="24">
        <f t="shared" si="0"/>
        <v>3468093.4412939586</v>
      </c>
      <c r="F17" s="24">
        <f t="shared" si="1"/>
        <v>46616421.276922032</v>
      </c>
    </row>
  </sheetData>
  <sheetProtection algorithmName="SHA-512" hashValue="d2YcW7Y/B4mMa/9xac6dZIN4OFWKjy1Qv4DA6YGUkRiMJS4Qki0fZNKgumPcIXLprr5TF8uzjrs2/OltElw3/Q==" saltValue="vkTyo9gY8Rl0DLZbhNK+Hw==" spinCount="100000" sheet="1" objects="1" scenarios="1"/>
  <pageMargins left="0.7" right="0.7" top="0.75" bottom="0.75" header="0.3" footer="0.3"/>
  <drawing r:id="rId1"/>
  <tableParts count="1">
    <tablePart r:id="rId2"/>
  </tableParts>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3A9AFD-2413-4F8E-9F7E-E200BA771BCB}">
  <sheetPr>
    <tabColor rgb="FF00B0F0"/>
  </sheetPr>
  <dimension ref="A1:B4"/>
  <sheetViews>
    <sheetView workbookViewId="0"/>
  </sheetViews>
  <sheetFormatPr baseColWidth="10" defaultRowHeight="15" x14ac:dyDescent="0.25"/>
  <cols>
    <col min="1" max="1" width="20" customWidth="1"/>
    <col min="2" max="2" width="18.140625" customWidth="1"/>
  </cols>
  <sheetData>
    <row r="1" spans="1:2" x14ac:dyDescent="0.25"/>
    <row r="2" spans="1:2" ht="18.75" x14ac:dyDescent="0.3">
      <c r="A2" s="19" t="s">
        <v>349</v>
      </c>
      <c r="B2" s="21" t="s">
        <v>13</v>
      </c>
    </row>
    <row r="3" spans="1:2" ht="18.75" x14ac:dyDescent="0.3">
      <c r="A3" s="20" t="s">
        <v>347</v>
      </c>
      <c r="B3" s="22" t="str">
        <f>_xlfn.XLOOKUP(B2,Clientes!A:A,Clientes!B:B)</f>
        <v>Luis Fernández</v>
      </c>
    </row>
    <row r="4" spans="1:2" ht="18.75" x14ac:dyDescent="0.3">
      <c r="A4" s="20" t="s">
        <v>348</v>
      </c>
      <c r="B4" s="22" t="str">
        <f>_xlfn.XLOOKUP(B2,Clientes!A:A,Clientes!C:C)</f>
        <v>Cali</v>
      </c>
    </row>
  </sheetData>
  <sheetProtection algorithmName="SHA-512" hashValue="nakawDzFROwgSShYgAotE7ECyp/Je5FwSk7cPK/ef37Kdmjk0UV49AC15tp9ZckieHcATSC06IZKgqaTWtErhw==" saltValue="z0s/Rse9Ik45rUnEl7th0Q==" spinCount="100000" sheet="1" objects="1" scenarios="1"/>
  <pageMargins left="0.7" right="0.7" top="0.75" bottom="0.75" header="0.3" footer="0.3"/>
  <legacy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B1BCB0-1E71-4733-9A1C-8A680194149C}">
  <sheetPr>
    <tabColor rgb="FF92D050"/>
  </sheetPr>
  <dimension ref="B2:L18"/>
  <sheetViews>
    <sheetView topLeftCell="A10" workbookViewId="0">
      <selection activeCell="B2" sqref="B2:L18"/>
    </sheetView>
  </sheetViews>
  <sheetFormatPr baseColWidth="10" defaultRowHeight="15" x14ac:dyDescent="0.25"/>
  <sheetData>
    <row r="2" spans="2:12" x14ac:dyDescent="0.25">
      <c r="B2" s="63" t="s">
        <v>350</v>
      </c>
      <c r="C2" s="64"/>
      <c r="D2" s="64"/>
      <c r="E2" s="64"/>
      <c r="F2" s="64"/>
      <c r="G2" s="64"/>
      <c r="H2" s="64"/>
      <c r="I2" s="64"/>
      <c r="J2" s="64"/>
      <c r="K2" s="64"/>
      <c r="L2" s="64"/>
    </row>
    <row r="3" spans="2:12" x14ac:dyDescent="0.25">
      <c r="B3" s="64"/>
      <c r="C3" s="64"/>
      <c r="D3" s="64"/>
      <c r="E3" s="64"/>
      <c r="F3" s="64"/>
      <c r="G3" s="64"/>
      <c r="H3" s="64"/>
      <c r="I3" s="64"/>
      <c r="J3" s="64"/>
      <c r="K3" s="64"/>
      <c r="L3" s="64"/>
    </row>
    <row r="4" spans="2:12" x14ac:dyDescent="0.25">
      <c r="B4" s="64"/>
      <c r="C4" s="64"/>
      <c r="D4" s="64"/>
      <c r="E4" s="64"/>
      <c r="F4" s="64"/>
      <c r="G4" s="64"/>
      <c r="H4" s="64"/>
      <c r="I4" s="64"/>
      <c r="J4" s="64"/>
      <c r="K4" s="64"/>
      <c r="L4" s="64"/>
    </row>
    <row r="5" spans="2:12" x14ac:dyDescent="0.25">
      <c r="B5" s="64"/>
      <c r="C5" s="64"/>
      <c r="D5" s="64"/>
      <c r="E5" s="64"/>
      <c r="F5" s="64"/>
      <c r="G5" s="64"/>
      <c r="H5" s="64"/>
      <c r="I5" s="64"/>
      <c r="J5" s="64"/>
      <c r="K5" s="64"/>
      <c r="L5" s="64"/>
    </row>
    <row r="6" spans="2:12" x14ac:dyDescent="0.25">
      <c r="B6" s="64"/>
      <c r="C6" s="64"/>
      <c r="D6" s="64"/>
      <c r="E6" s="64"/>
      <c r="F6" s="64"/>
      <c r="G6" s="64"/>
      <c r="H6" s="64"/>
      <c r="I6" s="64"/>
      <c r="J6" s="64"/>
      <c r="K6" s="64"/>
      <c r="L6" s="64"/>
    </row>
    <row r="7" spans="2:12" x14ac:dyDescent="0.25">
      <c r="B7" s="64"/>
      <c r="C7" s="64"/>
      <c r="D7" s="64"/>
      <c r="E7" s="64"/>
      <c r="F7" s="64"/>
      <c r="G7" s="64"/>
      <c r="H7" s="64"/>
      <c r="I7" s="64"/>
      <c r="J7" s="64"/>
      <c r="K7" s="64"/>
      <c r="L7" s="64"/>
    </row>
    <row r="8" spans="2:12" x14ac:dyDescent="0.25">
      <c r="B8" s="64"/>
      <c r="C8" s="64"/>
      <c r="D8" s="64"/>
      <c r="E8" s="64"/>
      <c r="F8" s="64"/>
      <c r="G8" s="64"/>
      <c r="H8" s="64"/>
      <c r="I8" s="64"/>
      <c r="J8" s="64"/>
      <c r="K8" s="64"/>
      <c r="L8" s="64"/>
    </row>
    <row r="9" spans="2:12" x14ac:dyDescent="0.25">
      <c r="B9" s="64"/>
      <c r="C9" s="64"/>
      <c r="D9" s="64"/>
      <c r="E9" s="64"/>
      <c r="F9" s="64"/>
      <c r="G9" s="64"/>
      <c r="H9" s="64"/>
      <c r="I9" s="64"/>
      <c r="J9" s="64"/>
      <c r="K9" s="64"/>
      <c r="L9" s="64"/>
    </row>
    <row r="10" spans="2:12" x14ac:dyDescent="0.25">
      <c r="B10" s="64"/>
      <c r="C10" s="64"/>
      <c r="D10" s="64"/>
      <c r="E10" s="64"/>
      <c r="F10" s="64"/>
      <c r="G10" s="64"/>
      <c r="H10" s="64"/>
      <c r="I10" s="64"/>
      <c r="J10" s="64"/>
      <c r="K10" s="64"/>
      <c r="L10" s="64"/>
    </row>
    <row r="11" spans="2:12" x14ac:dyDescent="0.25">
      <c r="B11" s="64"/>
      <c r="C11" s="64"/>
      <c r="D11" s="64"/>
      <c r="E11" s="64"/>
      <c r="F11" s="64"/>
      <c r="G11" s="64"/>
      <c r="H11" s="64"/>
      <c r="I11" s="64"/>
      <c r="J11" s="64"/>
      <c r="K11" s="64"/>
      <c r="L11" s="64"/>
    </row>
    <row r="12" spans="2:12" x14ac:dyDescent="0.25">
      <c r="B12" s="64"/>
      <c r="C12" s="64"/>
      <c r="D12" s="64"/>
      <c r="E12" s="64"/>
      <c r="F12" s="64"/>
      <c r="G12" s="64"/>
      <c r="H12" s="64"/>
      <c r="I12" s="64"/>
      <c r="J12" s="64"/>
      <c r="K12" s="64"/>
      <c r="L12" s="64"/>
    </row>
    <row r="13" spans="2:12" x14ac:dyDescent="0.25">
      <c r="B13" s="64"/>
      <c r="C13" s="64"/>
      <c r="D13" s="64"/>
      <c r="E13" s="64"/>
      <c r="F13" s="64"/>
      <c r="G13" s="64"/>
      <c r="H13" s="64"/>
      <c r="I13" s="64"/>
      <c r="J13" s="64"/>
      <c r="K13" s="64"/>
      <c r="L13" s="64"/>
    </row>
    <row r="14" spans="2:12" x14ac:dyDescent="0.25">
      <c r="B14" s="64"/>
      <c r="C14" s="64"/>
      <c r="D14" s="64"/>
      <c r="E14" s="64"/>
      <c r="F14" s="64"/>
      <c r="G14" s="64"/>
      <c r="H14" s="64"/>
      <c r="I14" s="64"/>
      <c r="J14" s="64"/>
      <c r="K14" s="64"/>
      <c r="L14" s="64"/>
    </row>
    <row r="15" spans="2:12" x14ac:dyDescent="0.25">
      <c r="B15" s="64"/>
      <c r="C15" s="64"/>
      <c r="D15" s="64"/>
      <c r="E15" s="64"/>
      <c r="F15" s="64"/>
      <c r="G15" s="64"/>
      <c r="H15" s="64"/>
      <c r="I15" s="64"/>
      <c r="J15" s="64"/>
      <c r="K15" s="64"/>
      <c r="L15" s="64"/>
    </row>
    <row r="16" spans="2:12" x14ac:dyDescent="0.25">
      <c r="B16" s="64"/>
      <c r="C16" s="64"/>
      <c r="D16" s="64"/>
      <c r="E16" s="64"/>
      <c r="F16" s="64"/>
      <c r="G16" s="64"/>
      <c r="H16" s="64"/>
      <c r="I16" s="64"/>
      <c r="J16" s="64"/>
      <c r="K16" s="64"/>
      <c r="L16" s="64"/>
    </row>
    <row r="17" spans="2:12" x14ac:dyDescent="0.25">
      <c r="B17" s="64"/>
      <c r="C17" s="64"/>
      <c r="D17" s="64"/>
      <c r="E17" s="64"/>
      <c r="F17" s="64"/>
      <c r="G17" s="64"/>
      <c r="H17" s="64"/>
      <c r="I17" s="64"/>
      <c r="J17" s="64"/>
      <c r="K17" s="64"/>
      <c r="L17" s="64"/>
    </row>
    <row r="18" spans="2:12" x14ac:dyDescent="0.25">
      <c r="B18" s="64"/>
      <c r="C18" s="64"/>
      <c r="D18" s="64"/>
      <c r="E18" s="64"/>
      <c r="F18" s="64"/>
      <c r="G18" s="64"/>
      <c r="H18" s="64"/>
      <c r="I18" s="64"/>
      <c r="J18" s="64"/>
      <c r="K18" s="64"/>
      <c r="L18" s="64"/>
    </row>
  </sheetData>
  <mergeCells count="1">
    <mergeCell ref="B2:L18"/>
  </mergeCells>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3D91B1-9C44-4762-8DE5-1526C74B8333}">
  <dimension ref="C24:I40"/>
  <sheetViews>
    <sheetView topLeftCell="A27" workbookViewId="0">
      <selection activeCell="J32" sqref="J32"/>
    </sheetView>
  </sheetViews>
  <sheetFormatPr baseColWidth="10" defaultRowHeight="15" x14ac:dyDescent="0.25"/>
  <sheetData>
    <row r="24" spans="3:9" ht="20.25" x14ac:dyDescent="0.35">
      <c r="C24" s="60" t="s">
        <v>394</v>
      </c>
    </row>
    <row r="26" spans="3:9" ht="16.5" x14ac:dyDescent="0.3">
      <c r="C26" s="61" t="s">
        <v>395</v>
      </c>
    </row>
    <row r="27" spans="3:9" ht="21" customHeight="1" x14ac:dyDescent="0.25">
      <c r="C27" s="65" t="s">
        <v>396</v>
      </c>
      <c r="D27" s="65"/>
      <c r="E27" s="65"/>
      <c r="F27" s="65"/>
      <c r="G27" s="65"/>
      <c r="H27" s="65"/>
      <c r="I27" s="65"/>
    </row>
    <row r="28" spans="3:9" ht="21" customHeight="1" x14ac:dyDescent="0.25">
      <c r="C28" s="65"/>
      <c r="D28" s="65"/>
      <c r="E28" s="65"/>
      <c r="F28" s="65"/>
      <c r="G28" s="65"/>
      <c r="H28" s="65"/>
      <c r="I28" s="65"/>
    </row>
    <row r="29" spans="3:9" ht="21" customHeight="1" x14ac:dyDescent="0.25">
      <c r="C29" s="65"/>
      <c r="D29" s="65"/>
      <c r="E29" s="65"/>
      <c r="F29" s="65"/>
      <c r="G29" s="65"/>
      <c r="H29" s="65"/>
      <c r="I29" s="65"/>
    </row>
    <row r="30" spans="3:9" ht="21" customHeight="1" x14ac:dyDescent="0.25">
      <c r="C30" s="65"/>
      <c r="D30" s="65"/>
      <c r="E30" s="65"/>
      <c r="F30" s="65"/>
      <c r="G30" s="65"/>
      <c r="H30" s="65"/>
      <c r="I30" s="65"/>
    </row>
    <row r="31" spans="3:9" ht="21" customHeight="1" x14ac:dyDescent="0.25">
      <c r="C31" s="65"/>
      <c r="D31" s="65"/>
      <c r="E31" s="65"/>
      <c r="F31" s="65"/>
      <c r="G31" s="65"/>
      <c r="H31" s="65"/>
      <c r="I31" s="65"/>
    </row>
    <row r="33" spans="3:9" ht="16.5" x14ac:dyDescent="0.3">
      <c r="C33" s="61" t="s">
        <v>397</v>
      </c>
    </row>
    <row r="35" spans="3:9" ht="21" customHeight="1" x14ac:dyDescent="0.25">
      <c r="C35" s="65" t="s">
        <v>398</v>
      </c>
      <c r="D35" s="65"/>
      <c r="E35" s="65"/>
      <c r="F35" s="65"/>
      <c r="G35" s="65"/>
      <c r="H35" s="65"/>
      <c r="I35" s="65"/>
    </row>
    <row r="36" spans="3:9" ht="21" customHeight="1" x14ac:dyDescent="0.25">
      <c r="C36" s="65"/>
      <c r="D36" s="65"/>
      <c r="E36" s="65"/>
      <c r="F36" s="65"/>
      <c r="G36" s="65"/>
      <c r="H36" s="65"/>
      <c r="I36" s="65"/>
    </row>
    <row r="37" spans="3:9" ht="21" customHeight="1" x14ac:dyDescent="0.25">
      <c r="C37" s="65"/>
      <c r="D37" s="65"/>
      <c r="E37" s="65"/>
      <c r="F37" s="65"/>
      <c r="G37" s="65"/>
      <c r="H37" s="65"/>
      <c r="I37" s="65"/>
    </row>
    <row r="38" spans="3:9" ht="21" customHeight="1" x14ac:dyDescent="0.25">
      <c r="C38" s="65"/>
      <c r="D38" s="65"/>
      <c r="E38" s="65"/>
      <c r="F38" s="65"/>
      <c r="G38" s="65"/>
      <c r="H38" s="65"/>
      <c r="I38" s="65"/>
    </row>
    <row r="39" spans="3:9" ht="21" customHeight="1" x14ac:dyDescent="0.25">
      <c r="C39" s="65"/>
      <c r="D39" s="65"/>
      <c r="E39" s="65"/>
      <c r="F39" s="65"/>
      <c r="G39" s="65"/>
      <c r="H39" s="65"/>
      <c r="I39" s="65"/>
    </row>
    <row r="40" spans="3:9" ht="21" customHeight="1" x14ac:dyDescent="0.25"/>
  </sheetData>
  <mergeCells count="2">
    <mergeCell ref="C27:I31"/>
    <mergeCell ref="C35:I39"/>
  </mergeCells>
  <pageMargins left="0.7" right="0.7" top="0.75" bottom="0.75" header="0.3" footer="0.3"/>
  <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61A300-F825-433C-9E49-402CCBA8D487}">
  <sheetPr>
    <tabColor theme="7" tint="-0.249977111117893"/>
  </sheetPr>
  <dimension ref="A1:F10"/>
  <sheetViews>
    <sheetView workbookViewId="0">
      <selection activeCell="D9" sqref="D9"/>
    </sheetView>
  </sheetViews>
  <sheetFormatPr baseColWidth="10" defaultRowHeight="15" x14ac:dyDescent="0.25"/>
  <cols>
    <col min="1" max="1" width="22.85546875" bestFit="1" customWidth="1"/>
    <col min="2" max="2" width="14.7109375" bestFit="1" customWidth="1"/>
    <col min="3" max="6" width="15" customWidth="1"/>
  </cols>
  <sheetData>
    <row r="1" spans="1:6" s="29" customFormat="1" ht="24" customHeight="1" x14ac:dyDescent="0.25">
      <c r="A1" s="29" t="s">
        <v>353</v>
      </c>
      <c r="B1" s="29" t="s">
        <v>236</v>
      </c>
      <c r="C1" s="29" t="s">
        <v>237</v>
      </c>
      <c r="D1" s="29" t="s">
        <v>238</v>
      </c>
      <c r="E1" s="29" t="s">
        <v>240</v>
      </c>
      <c r="F1" s="29" t="s">
        <v>351</v>
      </c>
    </row>
    <row r="2" spans="1:6" s="29" customFormat="1" ht="27" customHeight="1" x14ac:dyDescent="0.25">
      <c r="A2" s="27" t="s">
        <v>139</v>
      </c>
      <c r="B2" s="28">
        <f>SUMIFS(Tabla1[Precio_Unitario],Tabla1[Categoria],$A2,Tabla1[Region],B$1)</f>
        <v>11833679</v>
      </c>
      <c r="C2" s="28">
        <f>SUMIFS(Tabla1[Precio_Unitario],Tabla1[Categoria],$A2,Tabla1[Region],C$1)</f>
        <v>6162932</v>
      </c>
      <c r="D2" s="28">
        <f>SUMIFS(Tabla1[Precio_Unitario],Tabla1[Categoria],$A2,Tabla1[Region],D$1)</f>
        <v>6701530</v>
      </c>
      <c r="E2" s="28">
        <f>SUMIFS(Tabla1[Precio_Unitario],Tabla1[Categoria],$A2,Tabla1[Region],E$1)</f>
        <v>3921336</v>
      </c>
      <c r="F2" s="28">
        <f>SUMIFS(Tabla1[Precio_Unitario],Tabla1[Categoria],$A2,Tabla1[Region],F$1)</f>
        <v>1226579</v>
      </c>
    </row>
    <row r="3" spans="1:6" s="29" customFormat="1" ht="27" customHeight="1" x14ac:dyDescent="0.25">
      <c r="A3" s="27" t="s">
        <v>129</v>
      </c>
      <c r="B3" s="28">
        <f>SUMIFS(Tabla1[Precio_Unitario],Tabla1[Categoria],$A3,Tabla1[Region],B$1)</f>
        <v>4414688</v>
      </c>
      <c r="C3" s="28">
        <f>SUMIFS(Tabla1[Precio_Unitario],Tabla1[Categoria],$A3,Tabla1[Region],C$1)</f>
        <v>1790016</v>
      </c>
      <c r="D3" s="28">
        <f>SUMIFS(Tabla1[Precio_Unitario],Tabla1[Categoria],$A3,Tabla1[Region],D$1)</f>
        <v>374164</v>
      </c>
      <c r="E3" s="28">
        <f>SUMIFS(Tabla1[Precio_Unitario],Tabla1[Categoria],$A3,Tabla1[Region],E$1)</f>
        <v>1316147</v>
      </c>
      <c r="F3" s="28">
        <f>SUMIFS(Tabla1[Precio_Unitario],Tabla1[Categoria],$A3,Tabla1[Region],F$1)</f>
        <v>752390</v>
      </c>
    </row>
    <row r="4" spans="1:6" s="29" customFormat="1" ht="27" customHeight="1" x14ac:dyDescent="0.25">
      <c r="A4" s="27" t="s">
        <v>140</v>
      </c>
      <c r="B4" s="28">
        <f>SUMIFS(Tabla1[Precio_Unitario],Tabla1[Categoria],$A4,Tabla1[Region],B$1)</f>
        <v>821470</v>
      </c>
      <c r="C4" s="28">
        <f>SUMIFS(Tabla1[Precio_Unitario],Tabla1[Categoria],$A4,Tabla1[Region],C$1)</f>
        <v>1639831</v>
      </c>
      <c r="D4" s="28">
        <f>SUMIFS(Tabla1[Precio_Unitario],Tabla1[Categoria],$A4,Tabla1[Region],D$1)</f>
        <v>1221555</v>
      </c>
      <c r="E4" s="28">
        <f>SUMIFS(Tabla1[Precio_Unitario],Tabla1[Categoria],$A4,Tabla1[Region],E$1)</f>
        <v>0</v>
      </c>
      <c r="F4" s="28">
        <f>SUMIFS(Tabla1[Precio_Unitario],Tabla1[Categoria],$A4,Tabla1[Region],F$1)</f>
        <v>0</v>
      </c>
    </row>
    <row r="7" spans="1:6" ht="18.75" x14ac:dyDescent="0.3">
      <c r="A7" s="33" t="s">
        <v>355</v>
      </c>
      <c r="B7" s="34" t="s">
        <v>129</v>
      </c>
    </row>
    <row r="8" spans="1:6" ht="18.75" x14ac:dyDescent="0.3">
      <c r="A8" s="33" t="s">
        <v>356</v>
      </c>
      <c r="B8" s="34" t="s">
        <v>236</v>
      </c>
    </row>
    <row r="9" spans="1:6" ht="18.75" x14ac:dyDescent="0.3">
      <c r="A9" s="33" t="s">
        <v>357</v>
      </c>
      <c r="B9" s="35">
        <f>INDEX($B$2:$F$4,MATCH(B7,$A$2:$A$4,0),MATCH(B8,$B$1:$F$1,0))</f>
        <v>4414688</v>
      </c>
    </row>
    <row r="10" spans="1:6" x14ac:dyDescent="0.25">
      <c r="C10" s="30" t="s">
        <v>358</v>
      </c>
    </row>
  </sheetData>
  <dataValidations count="2">
    <dataValidation type="list" allowBlank="1" showInputMessage="1" showErrorMessage="1" sqref="B7" xr:uid="{95F5E549-4AE5-435B-8728-4103D5BB0150}">
      <formula1>$A$2:$A$4</formula1>
    </dataValidation>
    <dataValidation type="list" allowBlank="1" showInputMessage="1" showErrorMessage="1" sqref="B8" xr:uid="{00F6F21F-531A-478B-94DE-9B70AB595766}">
      <formula1>$B$1:$F$1</formula1>
    </dataValidation>
  </dataValidations>
  <pageMargins left="0.7" right="0.7" top="0.75" bottom="0.75" header="0.3" footer="0.3"/>
  <tableParts count="1">
    <tablePart r:id="rId1"/>
  </tablePart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7EA23A-AD5E-4F28-AB49-47D1857E9E3E}">
  <sheetPr>
    <tabColor rgb="FFFF0000"/>
  </sheetPr>
  <dimension ref="A1:C101"/>
  <sheetViews>
    <sheetView workbookViewId="0">
      <selection activeCell="E14" sqref="E14"/>
    </sheetView>
  </sheetViews>
  <sheetFormatPr baseColWidth="10" defaultRowHeight="15" x14ac:dyDescent="0.25"/>
  <cols>
    <col min="1" max="1" width="15.7109375" customWidth="1"/>
    <col min="2" max="2" width="16.28515625" customWidth="1"/>
    <col min="3" max="3" width="20.7109375" customWidth="1"/>
  </cols>
  <sheetData>
    <row r="1" spans="1:3" x14ac:dyDescent="0.25">
      <c r="A1" s="30" t="s">
        <v>359</v>
      </c>
      <c r="B1" s="30" t="s">
        <v>1</v>
      </c>
      <c r="C1" s="30" t="s">
        <v>360</v>
      </c>
    </row>
    <row r="2" spans="1:3" x14ac:dyDescent="0.25">
      <c r="A2" s="16">
        <v>46023</v>
      </c>
      <c r="B2" t="str">
        <f>Hechos_Transacciones!A2</f>
        <v>TX-100000</v>
      </c>
      <c r="C2" s="16">
        <f>WORKDAY(Hechos_Transacciones!B2,30,$A$2:$A$13)</f>
        <v>46370</v>
      </c>
    </row>
    <row r="3" spans="1:3" x14ac:dyDescent="0.25">
      <c r="A3" s="16">
        <v>46028</v>
      </c>
      <c r="B3" t="str">
        <f>Hechos_Transacciones!A3</f>
        <v>TX-100001</v>
      </c>
      <c r="C3" s="16">
        <f>WORKDAY(Hechos_Transacciones!B3,30,$A$2:$A$13)</f>
        <v>46261</v>
      </c>
    </row>
    <row r="4" spans="1:3" x14ac:dyDescent="0.25">
      <c r="A4" s="16">
        <v>46104</v>
      </c>
      <c r="B4" t="str">
        <f>Hechos_Transacciones!A4</f>
        <v>TX-100002</v>
      </c>
      <c r="C4" s="16">
        <f>WORKDAY(Hechos_Transacciones!B4,30,$A$2:$A$13)</f>
        <v>46106</v>
      </c>
    </row>
    <row r="5" spans="1:3" x14ac:dyDescent="0.25">
      <c r="A5" s="16">
        <v>46114</v>
      </c>
      <c r="B5" t="str">
        <f>Hechos_Transacciones!A5</f>
        <v>TX-100003</v>
      </c>
      <c r="C5" s="16">
        <f>WORKDAY(Hechos_Transacciones!B5,30,$A$2:$A$13)</f>
        <v>46188</v>
      </c>
    </row>
    <row r="6" spans="1:3" x14ac:dyDescent="0.25">
      <c r="A6" s="16">
        <v>46115</v>
      </c>
      <c r="B6" t="str">
        <f>Hechos_Transacciones!A6</f>
        <v>TX-100004</v>
      </c>
      <c r="C6" s="16">
        <f>WORKDAY(Hechos_Transacciones!B6,30,$A$2:$A$13)</f>
        <v>46400</v>
      </c>
    </row>
    <row r="7" spans="1:3" x14ac:dyDescent="0.25">
      <c r="A7" s="16">
        <v>46143</v>
      </c>
      <c r="B7" t="str">
        <f>Hechos_Transacciones!A7</f>
        <v>TX-100005</v>
      </c>
      <c r="C7" s="16">
        <f>WORKDAY(Hechos_Transacciones!B7,30,$A$2:$A$13)</f>
        <v>46419</v>
      </c>
    </row>
    <row r="8" spans="1:3" x14ac:dyDescent="0.25">
      <c r="A8" s="16">
        <v>46167</v>
      </c>
      <c r="B8" t="str">
        <f>Hechos_Transacciones!A8</f>
        <v>TX-100006</v>
      </c>
      <c r="C8" s="16">
        <f>WORKDAY(Hechos_Transacciones!B8,30,$A$2:$A$13)</f>
        <v>46353</v>
      </c>
    </row>
    <row r="9" spans="1:3" x14ac:dyDescent="0.25">
      <c r="A9" s="16">
        <v>46223</v>
      </c>
      <c r="B9" t="str">
        <f>Hechos_Transacciones!A9</f>
        <v>TX-100007</v>
      </c>
      <c r="C9" s="16">
        <f>WORKDAY(Hechos_Transacciones!B9,30,$A$2:$A$13)</f>
        <v>46366</v>
      </c>
    </row>
    <row r="10" spans="1:3" x14ac:dyDescent="0.25">
      <c r="A10" s="16">
        <v>46241</v>
      </c>
      <c r="B10" t="str">
        <f>Hechos_Transacciones!A10</f>
        <v>TX-100008</v>
      </c>
      <c r="C10" s="16">
        <f>WORKDAY(Hechos_Transacciones!B10,30,$A$2:$A$13)</f>
        <v>46149</v>
      </c>
    </row>
    <row r="11" spans="1:3" x14ac:dyDescent="0.25">
      <c r="A11" s="16">
        <v>46363</v>
      </c>
      <c r="B11" t="str">
        <f>Hechos_Transacciones!A11</f>
        <v>TX-100009</v>
      </c>
      <c r="C11" s="16">
        <f>WORKDAY(Hechos_Transacciones!B11,30,$A$2:$A$13)</f>
        <v>46414</v>
      </c>
    </row>
    <row r="12" spans="1:3" x14ac:dyDescent="0.25">
      <c r="A12" s="16">
        <v>46364</v>
      </c>
      <c r="B12" t="str">
        <f>Hechos_Transacciones!A12</f>
        <v>TX-100010</v>
      </c>
      <c r="C12" s="16">
        <f>WORKDAY(Hechos_Transacciones!B12,30,$A$2:$A$13)</f>
        <v>46202</v>
      </c>
    </row>
    <row r="13" spans="1:3" x14ac:dyDescent="0.25">
      <c r="A13" s="16">
        <v>46381</v>
      </c>
      <c r="B13" t="str">
        <f>Hechos_Transacciones!A13</f>
        <v>TX-100011</v>
      </c>
      <c r="C13" s="16">
        <f>WORKDAY(Hechos_Transacciones!B13,30,$A$2:$A$13)</f>
        <v>46336</v>
      </c>
    </row>
    <row r="14" spans="1:3" x14ac:dyDescent="0.25">
      <c r="B14" t="str">
        <f>Hechos_Transacciones!A14</f>
        <v>TX-100012</v>
      </c>
      <c r="C14" s="16">
        <f>WORKDAY(Hechos_Transacciones!B14,30,$A$2:$A$13)</f>
        <v>46311</v>
      </c>
    </row>
    <row r="15" spans="1:3" x14ac:dyDescent="0.25">
      <c r="B15" t="str">
        <f>Hechos_Transacciones!A15</f>
        <v>TX-100013</v>
      </c>
      <c r="C15" s="16">
        <f>WORKDAY(Hechos_Transacciones!B15,30,$A$2:$A$13)</f>
        <v>46339</v>
      </c>
    </row>
    <row r="16" spans="1:3" x14ac:dyDescent="0.25">
      <c r="B16" t="str">
        <f>Hechos_Transacciones!A16</f>
        <v>TX-100014</v>
      </c>
      <c r="C16" s="16">
        <f>WORKDAY(Hechos_Transacciones!B16,30,$A$2:$A$13)</f>
        <v>46097</v>
      </c>
    </row>
    <row r="17" spans="2:3" x14ac:dyDescent="0.25">
      <c r="B17" t="str">
        <f>Hechos_Transacciones!A17</f>
        <v>TX-100015</v>
      </c>
      <c r="C17" s="16">
        <f>WORKDAY(Hechos_Transacciones!B17,30,$A$2:$A$13)</f>
        <v>46237</v>
      </c>
    </row>
    <row r="18" spans="2:3" x14ac:dyDescent="0.25">
      <c r="B18" t="str">
        <f>Hechos_Transacciones!A18</f>
        <v>TX-100016</v>
      </c>
      <c r="C18" s="16">
        <f>WORKDAY(Hechos_Transacciones!B18,30,$A$2:$A$13)</f>
        <v>46307</v>
      </c>
    </row>
    <row r="19" spans="2:3" x14ac:dyDescent="0.25">
      <c r="B19" t="str">
        <f>Hechos_Transacciones!A19</f>
        <v>TX-100017</v>
      </c>
      <c r="C19" s="16">
        <f>WORKDAY(Hechos_Transacciones!B19,30,$A$2:$A$13)</f>
        <v>46400</v>
      </c>
    </row>
    <row r="20" spans="2:3" x14ac:dyDescent="0.25">
      <c r="B20" t="str">
        <f>Hechos_Transacciones!A20</f>
        <v>TX-100018</v>
      </c>
      <c r="C20" s="16">
        <f>WORKDAY(Hechos_Transacciones!B20,30,$A$2:$A$13)</f>
        <v>46301</v>
      </c>
    </row>
    <row r="21" spans="2:3" x14ac:dyDescent="0.25">
      <c r="B21" t="str">
        <f>Hechos_Transacciones!A21</f>
        <v>TX-100019</v>
      </c>
      <c r="C21" s="16">
        <f>WORKDAY(Hechos_Transacciones!B21,30,$A$2:$A$13)</f>
        <v>46188</v>
      </c>
    </row>
    <row r="22" spans="2:3" x14ac:dyDescent="0.25">
      <c r="B22" t="str">
        <f>Hechos_Transacciones!A22</f>
        <v>TX-100020</v>
      </c>
      <c r="C22" s="16">
        <f>WORKDAY(Hechos_Transacciones!B22,30,$A$2:$A$13)</f>
        <v>46297</v>
      </c>
    </row>
    <row r="23" spans="2:3" x14ac:dyDescent="0.25">
      <c r="B23" t="str">
        <f>Hechos_Transacciones!A23</f>
        <v>TX-100021</v>
      </c>
      <c r="C23" s="16">
        <f>WORKDAY(Hechos_Transacciones!B23,30,$A$2:$A$13)</f>
        <v>46094</v>
      </c>
    </row>
    <row r="24" spans="2:3" x14ac:dyDescent="0.25">
      <c r="B24" t="str">
        <f>Hechos_Transacciones!A24</f>
        <v>TX-100022</v>
      </c>
      <c r="C24" s="16">
        <f>WORKDAY(Hechos_Transacciones!B24,30,$A$2:$A$13)</f>
        <v>46371</v>
      </c>
    </row>
    <row r="25" spans="2:3" x14ac:dyDescent="0.25">
      <c r="B25" t="str">
        <f>Hechos_Transacciones!A25</f>
        <v>TX-100023</v>
      </c>
      <c r="C25" s="16">
        <f>WORKDAY(Hechos_Transacciones!B25,30,$A$2:$A$13)</f>
        <v>46353</v>
      </c>
    </row>
    <row r="26" spans="2:3" x14ac:dyDescent="0.25">
      <c r="B26" t="str">
        <f>Hechos_Transacciones!A26</f>
        <v>TX-100024</v>
      </c>
      <c r="C26" s="16">
        <f>WORKDAY(Hechos_Transacciones!B26,30,$A$2:$A$13)</f>
        <v>46101</v>
      </c>
    </row>
    <row r="27" spans="2:3" x14ac:dyDescent="0.25">
      <c r="B27" t="str">
        <f>Hechos_Transacciones!A27</f>
        <v>TX-100025</v>
      </c>
      <c r="C27" s="16">
        <f>WORKDAY(Hechos_Transacciones!B27,30,$A$2:$A$13)</f>
        <v>46100</v>
      </c>
    </row>
    <row r="28" spans="2:3" x14ac:dyDescent="0.25">
      <c r="B28" t="str">
        <f>Hechos_Transacciones!A28</f>
        <v>TX-100026</v>
      </c>
      <c r="C28" s="16">
        <f>WORKDAY(Hechos_Transacciones!B28,30,$A$2:$A$13)</f>
        <v>46407</v>
      </c>
    </row>
    <row r="29" spans="2:3" x14ac:dyDescent="0.25">
      <c r="B29" t="str">
        <f>Hechos_Transacciones!A29</f>
        <v>TX-100027</v>
      </c>
      <c r="C29" s="16">
        <f>WORKDAY(Hechos_Transacciones!B29,30,$A$2:$A$13)</f>
        <v>46175</v>
      </c>
    </row>
    <row r="30" spans="2:3" x14ac:dyDescent="0.25">
      <c r="B30" t="str">
        <f>Hechos_Transacciones!A30</f>
        <v>TX-100028</v>
      </c>
      <c r="C30" s="16">
        <f>WORKDAY(Hechos_Transacciones!B30,30,$A$2:$A$13)</f>
        <v>46209</v>
      </c>
    </row>
    <row r="31" spans="2:3" x14ac:dyDescent="0.25">
      <c r="B31" t="str">
        <f>Hechos_Transacciones!A31</f>
        <v>TX-100029</v>
      </c>
      <c r="C31" s="16">
        <f>WORKDAY(Hechos_Transacciones!B31,30,$A$2:$A$13)</f>
        <v>46070</v>
      </c>
    </row>
    <row r="32" spans="2:3" x14ac:dyDescent="0.25">
      <c r="B32" t="str">
        <f>Hechos_Transacciones!A32</f>
        <v>TX-100030</v>
      </c>
      <c r="C32" s="16">
        <f>WORKDAY(Hechos_Transacciones!B32,30,$A$2:$A$13)</f>
        <v>46086</v>
      </c>
    </row>
    <row r="33" spans="2:3" x14ac:dyDescent="0.25">
      <c r="B33" t="str">
        <f>Hechos_Transacciones!A33</f>
        <v>TX-100031</v>
      </c>
      <c r="C33" s="16">
        <f>WORKDAY(Hechos_Transacciones!B33,30,$A$2:$A$13)</f>
        <v>46274</v>
      </c>
    </row>
    <row r="34" spans="2:3" x14ac:dyDescent="0.25">
      <c r="B34" t="str">
        <f>Hechos_Transacciones!A34</f>
        <v>TX-100032</v>
      </c>
      <c r="C34" s="16">
        <f>WORKDAY(Hechos_Transacciones!B34,30,$A$2:$A$13)</f>
        <v>46408</v>
      </c>
    </row>
    <row r="35" spans="2:3" x14ac:dyDescent="0.25">
      <c r="B35" t="str">
        <f>Hechos_Transacciones!A35</f>
        <v>TX-100033</v>
      </c>
      <c r="C35" s="16">
        <f>WORKDAY(Hechos_Transacciones!B35,30,$A$2:$A$13)</f>
        <v>46300</v>
      </c>
    </row>
    <row r="36" spans="2:3" x14ac:dyDescent="0.25">
      <c r="B36" t="str">
        <f>Hechos_Transacciones!A36</f>
        <v>TX-100034</v>
      </c>
      <c r="C36" s="16">
        <f>WORKDAY(Hechos_Transacciones!B36,30,$A$2:$A$13)</f>
        <v>46209</v>
      </c>
    </row>
    <row r="37" spans="2:3" x14ac:dyDescent="0.25">
      <c r="B37" t="str">
        <f>Hechos_Transacciones!A37</f>
        <v>TX-100035</v>
      </c>
      <c r="C37" s="16">
        <f>WORKDAY(Hechos_Transacciones!B37,30,$A$2:$A$13)</f>
        <v>46160</v>
      </c>
    </row>
    <row r="38" spans="2:3" x14ac:dyDescent="0.25">
      <c r="B38" t="str">
        <f>Hechos_Transacciones!A38</f>
        <v>TX-100036</v>
      </c>
      <c r="C38" s="16">
        <f>WORKDAY(Hechos_Transacciones!B38,30,$A$2:$A$13)</f>
        <v>46163</v>
      </c>
    </row>
    <row r="39" spans="2:3" x14ac:dyDescent="0.25">
      <c r="B39" t="str">
        <f>Hechos_Transacciones!A39</f>
        <v>TX-100037</v>
      </c>
      <c r="C39" s="16">
        <f>WORKDAY(Hechos_Transacciones!B39,30,$A$2:$A$13)</f>
        <v>46253</v>
      </c>
    </row>
    <row r="40" spans="2:3" x14ac:dyDescent="0.25">
      <c r="B40" t="str">
        <f>Hechos_Transacciones!A40</f>
        <v>TX-100038</v>
      </c>
      <c r="C40" s="16">
        <f>WORKDAY(Hechos_Transacciones!B40,30,$A$2:$A$13)</f>
        <v>46407</v>
      </c>
    </row>
    <row r="41" spans="2:3" x14ac:dyDescent="0.25">
      <c r="B41" t="str">
        <f>Hechos_Transacciones!A41</f>
        <v>TX-100039</v>
      </c>
      <c r="C41" s="16">
        <f>WORKDAY(Hechos_Transacciones!B41,30,$A$2:$A$13)</f>
        <v>46385</v>
      </c>
    </row>
    <row r="42" spans="2:3" x14ac:dyDescent="0.25">
      <c r="B42" t="str">
        <f>Hechos_Transacciones!A42</f>
        <v>TX-100040</v>
      </c>
      <c r="C42" s="16">
        <f>WORKDAY(Hechos_Transacciones!B42,30,$A$2:$A$13)</f>
        <v>46290</v>
      </c>
    </row>
    <row r="43" spans="2:3" x14ac:dyDescent="0.25">
      <c r="B43" t="str">
        <f>Hechos_Transacciones!A43</f>
        <v>TX-100041</v>
      </c>
      <c r="C43" s="16">
        <f>WORKDAY(Hechos_Transacciones!B43,30,$A$2:$A$13)</f>
        <v>46113</v>
      </c>
    </row>
    <row r="44" spans="2:3" x14ac:dyDescent="0.25">
      <c r="B44" t="str">
        <f>Hechos_Transacciones!A44</f>
        <v>TX-100042</v>
      </c>
      <c r="C44" s="16">
        <f>WORKDAY(Hechos_Transacciones!B44,30,$A$2:$A$13)</f>
        <v>46279</v>
      </c>
    </row>
    <row r="45" spans="2:3" x14ac:dyDescent="0.25">
      <c r="B45" t="str">
        <f>Hechos_Transacciones!A45</f>
        <v>TX-100043</v>
      </c>
      <c r="C45" s="16">
        <f>WORKDAY(Hechos_Transacciones!B45,30,$A$2:$A$13)</f>
        <v>46283</v>
      </c>
    </row>
    <row r="46" spans="2:3" x14ac:dyDescent="0.25">
      <c r="B46" t="str">
        <f>Hechos_Transacciones!A46</f>
        <v>TX-100044</v>
      </c>
      <c r="C46" s="16">
        <f>WORKDAY(Hechos_Transacciones!B46,30,$A$2:$A$13)</f>
        <v>46302</v>
      </c>
    </row>
    <row r="47" spans="2:3" x14ac:dyDescent="0.25">
      <c r="B47" t="str">
        <f>Hechos_Transacciones!A47</f>
        <v>TX-100045</v>
      </c>
      <c r="C47" s="16">
        <f>WORKDAY(Hechos_Transacciones!B47,30,$A$2:$A$13)</f>
        <v>46308</v>
      </c>
    </row>
    <row r="48" spans="2:3" x14ac:dyDescent="0.25">
      <c r="B48" t="str">
        <f>Hechos_Transacciones!A48</f>
        <v>TX-100046</v>
      </c>
      <c r="C48" s="16">
        <f>WORKDAY(Hechos_Transacciones!B48,30,$A$2:$A$13)</f>
        <v>46290</v>
      </c>
    </row>
    <row r="49" spans="2:3" x14ac:dyDescent="0.25">
      <c r="B49" t="str">
        <f>Hechos_Transacciones!A49</f>
        <v>TX-100047</v>
      </c>
      <c r="C49" s="16">
        <f>WORKDAY(Hechos_Transacciones!B49,30,$A$2:$A$13)</f>
        <v>46097</v>
      </c>
    </row>
    <row r="50" spans="2:3" x14ac:dyDescent="0.25">
      <c r="B50" t="str">
        <f>Hechos_Transacciones!A50</f>
        <v>TX-100048</v>
      </c>
      <c r="C50" s="16">
        <f>WORKDAY(Hechos_Transacciones!B50,30,$A$2:$A$13)</f>
        <v>46422</v>
      </c>
    </row>
    <row r="51" spans="2:3" x14ac:dyDescent="0.25">
      <c r="B51" t="str">
        <f>Hechos_Transacciones!A51</f>
        <v>TX-100049</v>
      </c>
      <c r="C51" s="16">
        <f>WORKDAY(Hechos_Transacciones!B51,30,$A$2:$A$13)</f>
        <v>46280</v>
      </c>
    </row>
    <row r="52" spans="2:3" x14ac:dyDescent="0.25">
      <c r="B52" t="str">
        <f>Hechos_Transacciones!A52</f>
        <v>TX-100050</v>
      </c>
      <c r="C52" s="16">
        <f>WORKDAY(Hechos_Transacciones!B52,30,$A$2:$A$13)</f>
        <v>46304</v>
      </c>
    </row>
    <row r="53" spans="2:3" x14ac:dyDescent="0.25">
      <c r="B53" t="str">
        <f>Hechos_Transacciones!A53</f>
        <v>TX-100051</v>
      </c>
      <c r="C53" s="16">
        <f>WORKDAY(Hechos_Transacciones!B53,30,$A$2:$A$13)</f>
        <v>46160</v>
      </c>
    </row>
    <row r="54" spans="2:3" x14ac:dyDescent="0.25">
      <c r="B54" t="str">
        <f>Hechos_Transacciones!A54</f>
        <v>TX-100052</v>
      </c>
      <c r="C54" s="16">
        <f>WORKDAY(Hechos_Transacciones!B54,30,$A$2:$A$13)</f>
        <v>46281</v>
      </c>
    </row>
    <row r="55" spans="2:3" x14ac:dyDescent="0.25">
      <c r="B55" t="str">
        <f>Hechos_Transacciones!A55</f>
        <v>TX-100053</v>
      </c>
      <c r="C55" s="16">
        <f>WORKDAY(Hechos_Transacciones!B55,30,$A$2:$A$13)</f>
        <v>46085</v>
      </c>
    </row>
    <row r="56" spans="2:3" x14ac:dyDescent="0.25">
      <c r="B56" t="str">
        <f>Hechos_Transacciones!A56</f>
        <v>TX-100054</v>
      </c>
      <c r="C56" s="16">
        <f>WORKDAY(Hechos_Transacciones!B56,30,$A$2:$A$13)</f>
        <v>46423</v>
      </c>
    </row>
    <row r="57" spans="2:3" x14ac:dyDescent="0.25">
      <c r="B57" t="str">
        <f>Hechos_Transacciones!A57</f>
        <v>TX-100055</v>
      </c>
      <c r="C57" s="16">
        <f>WORKDAY(Hechos_Transacciones!B57,30,$A$2:$A$13)</f>
        <v>46125</v>
      </c>
    </row>
    <row r="58" spans="2:3" x14ac:dyDescent="0.25">
      <c r="B58" t="str">
        <f>Hechos_Transacciones!A58</f>
        <v>TX-100056</v>
      </c>
      <c r="C58" s="16">
        <f>WORKDAY(Hechos_Transacciones!B58,30,$A$2:$A$13)</f>
        <v>46391</v>
      </c>
    </row>
    <row r="59" spans="2:3" x14ac:dyDescent="0.25">
      <c r="B59" t="str">
        <f>Hechos_Transacciones!A59</f>
        <v>TX-100057</v>
      </c>
      <c r="C59" s="16">
        <f>WORKDAY(Hechos_Transacciones!B59,30,$A$2:$A$13)</f>
        <v>46086</v>
      </c>
    </row>
    <row r="60" spans="2:3" x14ac:dyDescent="0.25">
      <c r="B60" t="str">
        <f>Hechos_Transacciones!A60</f>
        <v>TX-100058</v>
      </c>
      <c r="C60" s="16">
        <f>WORKDAY(Hechos_Transacciones!B60,30,$A$2:$A$13)</f>
        <v>46252</v>
      </c>
    </row>
    <row r="61" spans="2:3" x14ac:dyDescent="0.25">
      <c r="B61" t="str">
        <f>Hechos_Transacciones!A61</f>
        <v>TX-100059</v>
      </c>
      <c r="C61" s="16">
        <f>WORKDAY(Hechos_Transacciones!B61,30,$A$2:$A$13)</f>
        <v>46371</v>
      </c>
    </row>
    <row r="62" spans="2:3" x14ac:dyDescent="0.25">
      <c r="B62" t="str">
        <f>Hechos_Transacciones!A62</f>
        <v>TX-100060</v>
      </c>
      <c r="C62" s="16">
        <f>WORKDAY(Hechos_Transacciones!B62,30,$A$2:$A$13)</f>
        <v>46379</v>
      </c>
    </row>
    <row r="63" spans="2:3" x14ac:dyDescent="0.25">
      <c r="B63" t="str">
        <f>Hechos_Transacciones!A63</f>
        <v>TX-100061</v>
      </c>
      <c r="C63" s="16">
        <f>WORKDAY(Hechos_Transacciones!B63,30,$A$2:$A$13)</f>
        <v>46423</v>
      </c>
    </row>
    <row r="64" spans="2:3" x14ac:dyDescent="0.25">
      <c r="B64" t="str">
        <f>Hechos_Transacciones!A64</f>
        <v>TX-100062</v>
      </c>
      <c r="C64" s="16">
        <f>WORKDAY(Hechos_Transacciones!B64,30,$A$2:$A$13)</f>
        <v>46419</v>
      </c>
    </row>
    <row r="65" spans="2:3" x14ac:dyDescent="0.25">
      <c r="B65" t="str">
        <f>Hechos_Transacciones!A65</f>
        <v>TX-100063</v>
      </c>
      <c r="C65" s="16">
        <f>WORKDAY(Hechos_Transacciones!B65,30,$A$2:$A$13)</f>
        <v>46346</v>
      </c>
    </row>
    <row r="66" spans="2:3" x14ac:dyDescent="0.25">
      <c r="B66" t="str">
        <f>Hechos_Transacciones!A66</f>
        <v>TX-100064</v>
      </c>
      <c r="C66" s="16">
        <f>WORKDAY(Hechos_Transacciones!B66,30,$A$2:$A$13)</f>
        <v>46227</v>
      </c>
    </row>
    <row r="67" spans="2:3" x14ac:dyDescent="0.25">
      <c r="B67" t="str">
        <f>Hechos_Transacciones!A67</f>
        <v>TX-100065</v>
      </c>
      <c r="C67" s="16">
        <f>WORKDAY(Hechos_Transacciones!B67,30,$A$2:$A$13)</f>
        <v>46332</v>
      </c>
    </row>
    <row r="68" spans="2:3" x14ac:dyDescent="0.25">
      <c r="B68" t="str">
        <f>Hechos_Transacciones!A68</f>
        <v>TX-100066</v>
      </c>
      <c r="C68" s="16">
        <f>WORKDAY(Hechos_Transacciones!B68,30,$A$2:$A$13)</f>
        <v>46092</v>
      </c>
    </row>
    <row r="69" spans="2:3" x14ac:dyDescent="0.25">
      <c r="B69" t="str">
        <f>Hechos_Transacciones!A69</f>
        <v>TX-100067</v>
      </c>
      <c r="C69" s="16">
        <f>WORKDAY(Hechos_Transacciones!B69,30,$A$2:$A$13)</f>
        <v>46091</v>
      </c>
    </row>
    <row r="70" spans="2:3" x14ac:dyDescent="0.25">
      <c r="B70" t="str">
        <f>Hechos_Transacciones!A70</f>
        <v>TX-100068</v>
      </c>
      <c r="C70" s="16">
        <f>WORKDAY(Hechos_Transacciones!B70,30,$A$2:$A$13)</f>
        <v>46220</v>
      </c>
    </row>
    <row r="71" spans="2:3" x14ac:dyDescent="0.25">
      <c r="B71" t="str">
        <f>Hechos_Transacciones!A71</f>
        <v>TX-100069</v>
      </c>
      <c r="C71" s="16">
        <f>WORKDAY(Hechos_Transacciones!B71,30,$A$2:$A$13)</f>
        <v>46295</v>
      </c>
    </row>
    <row r="72" spans="2:3" x14ac:dyDescent="0.25">
      <c r="B72" t="str">
        <f>Hechos_Transacciones!A72</f>
        <v>TX-100070</v>
      </c>
      <c r="C72" s="16">
        <f>WORKDAY(Hechos_Transacciones!B72,30,$A$2:$A$13)</f>
        <v>46175</v>
      </c>
    </row>
    <row r="73" spans="2:3" x14ac:dyDescent="0.25">
      <c r="B73" t="str">
        <f>Hechos_Transacciones!A73</f>
        <v>TX-100071</v>
      </c>
      <c r="C73" s="16">
        <f>WORKDAY(Hechos_Transacciones!B73,30,$A$2:$A$13)</f>
        <v>46213</v>
      </c>
    </row>
    <row r="74" spans="2:3" x14ac:dyDescent="0.25">
      <c r="B74" t="str">
        <f>Hechos_Transacciones!A74</f>
        <v>TX-100072</v>
      </c>
      <c r="C74" s="16">
        <f>WORKDAY(Hechos_Transacciones!B74,30,$A$2:$A$13)</f>
        <v>46407</v>
      </c>
    </row>
    <row r="75" spans="2:3" x14ac:dyDescent="0.25">
      <c r="B75" t="str">
        <f>Hechos_Transacciones!A75</f>
        <v>TX-100073</v>
      </c>
      <c r="C75" s="16">
        <f>WORKDAY(Hechos_Transacciones!B75,30,$A$2:$A$13)</f>
        <v>46220</v>
      </c>
    </row>
    <row r="76" spans="2:3" x14ac:dyDescent="0.25">
      <c r="B76" t="str">
        <f>Hechos_Transacciones!A76</f>
        <v>TX-100074</v>
      </c>
      <c r="C76" s="16">
        <f>WORKDAY(Hechos_Transacciones!B76,30,$A$2:$A$13)</f>
        <v>46107</v>
      </c>
    </row>
    <row r="77" spans="2:3" x14ac:dyDescent="0.25">
      <c r="B77" t="str">
        <f>Hechos_Transacciones!A77</f>
        <v>TX-100075</v>
      </c>
      <c r="C77" s="16">
        <f>WORKDAY(Hechos_Transacciones!B77,30,$A$2:$A$13)</f>
        <v>46073</v>
      </c>
    </row>
    <row r="78" spans="2:3" x14ac:dyDescent="0.25">
      <c r="B78" t="str">
        <f>Hechos_Transacciones!A78</f>
        <v>TX-100076</v>
      </c>
      <c r="C78" s="16">
        <f>WORKDAY(Hechos_Transacciones!B78,30,$A$2:$A$13)</f>
        <v>46393</v>
      </c>
    </row>
    <row r="79" spans="2:3" x14ac:dyDescent="0.25">
      <c r="B79" t="str">
        <f>Hechos_Transacciones!A79</f>
        <v>TX-100077</v>
      </c>
      <c r="C79" s="16">
        <f>WORKDAY(Hechos_Transacciones!B79,30,$A$2:$A$13)</f>
        <v>46407</v>
      </c>
    </row>
    <row r="80" spans="2:3" x14ac:dyDescent="0.25">
      <c r="B80" t="str">
        <f>Hechos_Transacciones!A80</f>
        <v>TX-100078</v>
      </c>
      <c r="C80" s="16">
        <f>WORKDAY(Hechos_Transacciones!B80,30,$A$2:$A$13)</f>
        <v>46066</v>
      </c>
    </row>
    <row r="81" spans="2:3" x14ac:dyDescent="0.25">
      <c r="B81" t="str">
        <f>Hechos_Transacciones!A81</f>
        <v>TX-100079</v>
      </c>
      <c r="C81" s="16">
        <f>WORKDAY(Hechos_Transacciones!B81,30,$A$2:$A$13)</f>
        <v>46135</v>
      </c>
    </row>
    <row r="82" spans="2:3" x14ac:dyDescent="0.25">
      <c r="B82" t="str">
        <f>Hechos_Transacciones!A82</f>
        <v>TX-100080</v>
      </c>
      <c r="C82" s="16">
        <f>WORKDAY(Hechos_Transacciones!B82,30,$A$2:$A$13)</f>
        <v>46346</v>
      </c>
    </row>
    <row r="83" spans="2:3" x14ac:dyDescent="0.25">
      <c r="B83" t="str">
        <f>Hechos_Transacciones!A83</f>
        <v>TX-100081</v>
      </c>
      <c r="C83" s="16">
        <f>WORKDAY(Hechos_Transacciones!B83,30,$A$2:$A$13)</f>
        <v>46213</v>
      </c>
    </row>
    <row r="84" spans="2:3" x14ac:dyDescent="0.25">
      <c r="B84" t="str">
        <f>Hechos_Transacciones!A84</f>
        <v>TX-100082</v>
      </c>
      <c r="C84" s="16">
        <f>WORKDAY(Hechos_Transacciones!B84,30,$A$2:$A$13)</f>
        <v>46325</v>
      </c>
    </row>
    <row r="85" spans="2:3" x14ac:dyDescent="0.25">
      <c r="B85" t="str">
        <f>Hechos_Transacciones!A85</f>
        <v>TX-100083</v>
      </c>
      <c r="C85" s="16">
        <f>WORKDAY(Hechos_Transacciones!B85,30,$A$2:$A$13)</f>
        <v>46209</v>
      </c>
    </row>
    <row r="86" spans="2:3" x14ac:dyDescent="0.25">
      <c r="B86" t="str">
        <f>Hechos_Transacciones!A86</f>
        <v>TX-100084</v>
      </c>
      <c r="C86" s="16">
        <f>WORKDAY(Hechos_Transacciones!B86,30,$A$2:$A$13)</f>
        <v>46297</v>
      </c>
    </row>
    <row r="87" spans="2:3" x14ac:dyDescent="0.25">
      <c r="B87" t="str">
        <f>Hechos_Transacciones!A87</f>
        <v>TX-100085</v>
      </c>
      <c r="C87" s="16">
        <f>WORKDAY(Hechos_Transacciones!B87,30,$A$2:$A$13)</f>
        <v>46307</v>
      </c>
    </row>
    <row r="88" spans="2:3" x14ac:dyDescent="0.25">
      <c r="B88" t="str">
        <f>Hechos_Transacciones!A88</f>
        <v>TX-100086</v>
      </c>
      <c r="C88" s="16">
        <f>WORKDAY(Hechos_Transacciones!B88,30,$A$2:$A$13)</f>
        <v>46120</v>
      </c>
    </row>
    <row r="89" spans="2:3" x14ac:dyDescent="0.25">
      <c r="B89" t="str">
        <f>Hechos_Transacciones!A89</f>
        <v>TX-100087</v>
      </c>
      <c r="C89" s="16">
        <f>WORKDAY(Hechos_Transacciones!B89,30,$A$2:$A$13)</f>
        <v>46202</v>
      </c>
    </row>
    <row r="90" spans="2:3" x14ac:dyDescent="0.25">
      <c r="B90" t="str">
        <f>Hechos_Transacciones!A90</f>
        <v>TX-100088</v>
      </c>
      <c r="C90" s="16">
        <f>WORKDAY(Hechos_Transacciones!B90,30,$A$2:$A$13)</f>
        <v>46314</v>
      </c>
    </row>
    <row r="91" spans="2:3" x14ac:dyDescent="0.25">
      <c r="B91" t="str">
        <f>Hechos_Transacciones!A91</f>
        <v>TX-100089</v>
      </c>
      <c r="C91" s="16">
        <f>WORKDAY(Hechos_Transacciones!B91,30,$A$2:$A$13)</f>
        <v>46393</v>
      </c>
    </row>
    <row r="92" spans="2:3" x14ac:dyDescent="0.25">
      <c r="B92" t="str">
        <f>Hechos_Transacciones!A92</f>
        <v>TX-100090</v>
      </c>
      <c r="C92" s="16">
        <f>WORKDAY(Hechos_Transacciones!B92,30,$A$2:$A$13)</f>
        <v>46191</v>
      </c>
    </row>
    <row r="93" spans="2:3" x14ac:dyDescent="0.25">
      <c r="B93" t="str">
        <f>Hechos_Transacciones!A93</f>
        <v>TX-100091</v>
      </c>
      <c r="C93" s="16">
        <f>WORKDAY(Hechos_Transacciones!B93,30,$A$2:$A$13)</f>
        <v>46365</v>
      </c>
    </row>
    <row r="94" spans="2:3" x14ac:dyDescent="0.25">
      <c r="B94" t="str">
        <f>Hechos_Transacciones!A94</f>
        <v>TX-100092</v>
      </c>
      <c r="C94" s="16">
        <f>WORKDAY(Hechos_Transacciones!B94,30,$A$2:$A$13)</f>
        <v>46149</v>
      </c>
    </row>
    <row r="95" spans="2:3" x14ac:dyDescent="0.25">
      <c r="B95" t="str">
        <f>Hechos_Transacciones!A95</f>
        <v>TX-100093</v>
      </c>
      <c r="C95" s="16">
        <f>WORKDAY(Hechos_Transacciones!B95,30,$A$2:$A$13)</f>
        <v>46219</v>
      </c>
    </row>
    <row r="96" spans="2:3" x14ac:dyDescent="0.25">
      <c r="B96" t="str">
        <f>Hechos_Transacciones!A96</f>
        <v>TX-100094</v>
      </c>
      <c r="C96" s="16">
        <f>WORKDAY(Hechos_Transacciones!B96,30,$A$2:$A$13)</f>
        <v>46407</v>
      </c>
    </row>
    <row r="97" spans="2:3" x14ac:dyDescent="0.25">
      <c r="B97" t="str">
        <f>Hechos_Transacciones!A97</f>
        <v>TX-100095</v>
      </c>
      <c r="C97" s="16">
        <f>WORKDAY(Hechos_Transacciones!B97,30,$A$2:$A$13)</f>
        <v>46211</v>
      </c>
    </row>
    <row r="98" spans="2:3" x14ac:dyDescent="0.25">
      <c r="B98" t="str">
        <f>Hechos_Transacciones!A98</f>
        <v>TX-100096</v>
      </c>
      <c r="C98" s="16">
        <f>WORKDAY(Hechos_Transacciones!B98,30,$A$2:$A$13)</f>
        <v>46140</v>
      </c>
    </row>
    <row r="99" spans="2:3" x14ac:dyDescent="0.25">
      <c r="B99" t="str">
        <f>Hechos_Transacciones!A99</f>
        <v>TX-100097</v>
      </c>
      <c r="C99" s="16">
        <f>WORKDAY(Hechos_Transacciones!B99,30,$A$2:$A$13)</f>
        <v>46279</v>
      </c>
    </row>
    <row r="100" spans="2:3" x14ac:dyDescent="0.25">
      <c r="B100" t="str">
        <f>Hechos_Transacciones!A100</f>
        <v>TX-100098</v>
      </c>
      <c r="C100" s="16">
        <f>WORKDAY(Hechos_Transacciones!B100,30,$A$2:$A$13)</f>
        <v>46311</v>
      </c>
    </row>
    <row r="101" spans="2:3" x14ac:dyDescent="0.25">
      <c r="B101" t="str">
        <f>Hechos_Transacciones!A101</f>
        <v>TX-100099</v>
      </c>
      <c r="C101" s="16">
        <f>WORKDAY(Hechos_Transacciones!B101,30,$A$2:$A$13)</f>
        <v>46412</v>
      </c>
    </row>
  </sheetData>
  <pageMargins left="0.7" right="0.7" top="0.75" bottom="0.75" header="0.3" footer="0.3"/>
  <tableParts count="1">
    <tablePart r:id="rId1"/>
  </tableParts>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E05170C-279E-4873-BD93-50BD5AB68805}">
  <sheetPr>
    <tabColor theme="9" tint="-0.499984740745262"/>
  </sheetPr>
  <dimension ref="A1:C7"/>
  <sheetViews>
    <sheetView workbookViewId="0">
      <selection activeCell="L15" sqref="L15"/>
    </sheetView>
  </sheetViews>
  <sheetFormatPr baseColWidth="10" defaultRowHeight="15" x14ac:dyDescent="0.25"/>
  <cols>
    <col min="1" max="1" width="18.5703125" bestFit="1" customWidth="1"/>
    <col min="2" max="2" width="20.28515625" bestFit="1" customWidth="1"/>
  </cols>
  <sheetData>
    <row r="1" spans="1:3" x14ac:dyDescent="0.25">
      <c r="A1" s="36" t="s">
        <v>341</v>
      </c>
      <c r="B1" s="36" t="s">
        <v>361</v>
      </c>
      <c r="C1" s="36" t="s">
        <v>367</v>
      </c>
    </row>
    <row r="2" spans="1:3" x14ac:dyDescent="0.25">
      <c r="A2" s="37" t="s">
        <v>362</v>
      </c>
      <c r="B2" s="38" cm="1">
        <f t="array" ref="B2">SUMPRODUCT((MONTH(Tabla1[Fecha_Operacion])=C2)*(YEAR(Tabla1[Fecha_Operacion])=2026)*Tabla1[Precio_Unitario])</f>
        <v>4266240</v>
      </c>
      <c r="C2" s="39">
        <v>1</v>
      </c>
    </row>
    <row r="3" spans="1:3" x14ac:dyDescent="0.25">
      <c r="A3" s="37" t="s">
        <v>363</v>
      </c>
      <c r="B3" s="38" cm="1">
        <f t="array" ref="B3">SUMPRODUCT((MONTH(Tabla1[Fecha_Operacion])=C3)*(YEAR(Tabla1[Fecha_Operacion])=2026)*Tabla1[Precio_Unitario])</f>
        <v>2894052</v>
      </c>
      <c r="C3" s="39">
        <v>2</v>
      </c>
    </row>
    <row r="4" spans="1:3" x14ac:dyDescent="0.25">
      <c r="A4" s="37" t="s">
        <v>364</v>
      </c>
      <c r="B4" s="38" cm="1">
        <f t="array" ref="B4">SUMPRODUCT((MONTH(Tabla1[Fecha_Operacion])=C4)*(YEAR(Tabla1[Fecha_Operacion])=2026)*Tabla1[Precio_Unitario])</f>
        <v>2448001</v>
      </c>
      <c r="C4" s="39">
        <v>3</v>
      </c>
    </row>
    <row r="5" spans="1:3" x14ac:dyDescent="0.25">
      <c r="A5" s="37" t="s">
        <v>365</v>
      </c>
      <c r="B5" s="38" cm="1">
        <f t="array" ref="B5">SUMPRODUCT((MONTH(Tabla1[Fecha_Operacion])=C5)*(YEAR(Tabla1[Fecha_Operacion])=2026)*Tabla1[Precio_Unitario])</f>
        <v>2934651</v>
      </c>
      <c r="C5" s="39">
        <v>4</v>
      </c>
    </row>
    <row r="7" spans="1:3" x14ac:dyDescent="0.25">
      <c r="A7" s="32" t="s">
        <v>366</v>
      </c>
      <c r="B7" s="31">
        <f>SUM(B3:B6)</f>
        <v>8276704</v>
      </c>
    </row>
  </sheetData>
  <phoneticPr fontId="6" type="noConversion"/>
  <pageMargins left="0.7" right="0.7" top="0.75" bottom="0.75" header="0.3" footer="0.3"/>
  <drawing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8B609F-8814-45E9-976D-F19C9B86BCFF}">
  <sheetPr>
    <tabColor rgb="FF00B0F0"/>
  </sheetPr>
  <dimension ref="A1:A7"/>
  <sheetViews>
    <sheetView workbookViewId="0">
      <selection activeCell="C7" sqref="C7"/>
    </sheetView>
  </sheetViews>
  <sheetFormatPr baseColWidth="10" defaultRowHeight="15" x14ac:dyDescent="0.25"/>
  <cols>
    <col min="1" max="1" width="59.5703125" customWidth="1"/>
  </cols>
  <sheetData>
    <row r="1" spans="1:1" ht="27" customHeight="1" x14ac:dyDescent="0.25">
      <c r="A1" s="40" t="s">
        <v>368</v>
      </c>
    </row>
    <row r="2" spans="1:1" ht="27" customHeight="1" x14ac:dyDescent="0.25">
      <c r="A2" s="41">
        <f>IF(AND(Calculos!I4&gt;3000000,Calculos!G4&gt;=5),Calculos!I4*0.06,IF(Calculos!I4&gt;1000000,Calculos!I4*0.04,Calculos!I4*0.02))</f>
        <v>112497.84</v>
      </c>
    </row>
    <row r="3" spans="1:1" ht="27" customHeight="1" x14ac:dyDescent="0.25">
      <c r="A3" s="29"/>
    </row>
    <row r="4" spans="1:1" ht="27" customHeight="1" x14ac:dyDescent="0.25">
      <c r="A4" s="40" t="s">
        <v>369</v>
      </c>
    </row>
    <row r="5" spans="1:1" ht="27" customHeight="1" x14ac:dyDescent="0.25">
      <c r="A5" s="41">
        <f>_xlfn.LET(_xlpm.total,Calculos!I4,_xlpm.cantidad,Calculos!G4,IF(AND(_xlpm.total&gt;3000000,_xlpm.cantidad&gt;=5),_xlpm.total*0.06,IF(_xlpm.total&gt;1000000,_xlpm.total*0.04,_xlpm.total*0.02)))</f>
        <v>112497.84</v>
      </c>
    </row>
    <row r="7" spans="1:1" ht="127.5" customHeight="1" x14ac:dyDescent="0.25">
      <c r="A7" s="42" t="s">
        <v>370</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p:properties xmlns:p="http://schemas.microsoft.com/office/2006/metadata/properties" xmlns:xsi="http://www.w3.org/2001/XMLSchema-instance" xmlns:pc="http://schemas.microsoft.com/office/infopath/2007/PartnerControls">
  <documentManagement/>
</p:properties>
</file>

<file path=customXml/item2.xml>��
</file>

<file path=customXml/item3.xml><?xml version="1.0" encoding="utf-8"?>
<ct:contentTypeSchema xmlns:ct="http://schemas.microsoft.com/office/2006/metadata/contentType" xmlns:ma="http://schemas.microsoft.com/office/2006/metadata/properties/metaAttributes" ct:_="" ma:_="" ma:contentTypeName="Documento" ma:contentTypeID="0x01010064CD673EA9F06B4083D780730290AF6C" ma:contentTypeVersion="4" ma:contentTypeDescription="Crear nuevo documento." ma:contentTypeScope="" ma:versionID="32e280a458fe3e3895c033f950abf183">
  <xsd:schema xmlns:xsd="http://www.w3.org/2001/XMLSchema" xmlns:xs="http://www.w3.org/2001/XMLSchema" xmlns:p="http://schemas.microsoft.com/office/2006/metadata/properties" xmlns:ns3="a531e4ff-993d-4b2f-a007-a4870e63bb01" targetNamespace="http://schemas.microsoft.com/office/2006/metadata/properties" ma:root="true" ma:fieldsID="5e4e437ff300e30d929b5841763963a1" ns3:_="">
    <xsd:import namespace="a531e4ff-993d-4b2f-a007-a4870e63bb01"/>
    <xsd:element name="properties">
      <xsd:complexType>
        <xsd:sequence>
          <xsd:element name="documentManagement">
            <xsd:complexType>
              <xsd:all>
                <xsd:element ref="ns3:MediaServiceDateTaken" minOccurs="0"/>
                <xsd:element ref="ns3:MediaServiceMetadata" minOccurs="0"/>
                <xsd:element ref="ns3:MediaServiceFastMetadata" minOccurs="0"/>
                <xsd:element ref="ns3: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a531e4ff-993d-4b2f-a007-a4870e63bb01" elementFormDefault="qualified">
    <xsd:import namespace="http://schemas.microsoft.com/office/2006/documentManagement/types"/>
    <xsd:import namespace="http://schemas.microsoft.com/office/infopath/2007/PartnerControls"/>
    <xsd:element name="MediaServiceDateTaken" ma:index="8" nillable="true" ma:displayName="MediaServiceDateTaken" ma:hidden="true" ma:indexed="true" ma:internalName="MediaServiceDateTaken" ma:readOnly="true">
      <xsd:simpleType>
        <xsd:restriction base="dms:Text"/>
      </xsd:simpleType>
    </xsd:element>
    <xsd:element name="MediaServiceMetadata" ma:index="9" nillable="true" ma:displayName="MediaServiceMetadata" ma:hidden="true" ma:internalName="MediaServiceMetadata" ma:readOnly="true">
      <xsd:simpleType>
        <xsd:restriction base="dms:Note"/>
      </xsd:simpleType>
    </xsd:element>
    <xsd:element name="MediaServiceFastMetadata" ma:index="10" nillable="true" ma:displayName="MediaServiceFastMetadata" ma:hidden="true" ma:internalName="MediaServiceFastMetadata" ma:readOnly="true">
      <xsd:simpleType>
        <xsd:restriction base="dms:Note"/>
      </xsd:simpleType>
    </xsd:element>
    <xsd:element name="MediaServiceSearchProperties" ma:index="11" nillable="true" ma:displayName="MediaServiceSearchProperties" ma:hidden="true" ma:internalName="MediaServiceSearchProperties"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4.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D0AFA5F6-AF08-472A-BE6A-9008317D8902}">
  <ds:schemaRefs>
    <ds:schemaRef ds:uri="http://schemas.microsoft.com/office/infopath/2007/PartnerControls"/>
    <ds:schemaRef ds:uri="http://purl.org/dc/dcmitype/"/>
    <ds:schemaRef ds:uri="http://purl.org/dc/terms/"/>
    <ds:schemaRef ds:uri="http://schemas.microsoft.com/office/2006/documentManagement/types"/>
    <ds:schemaRef ds:uri="http://purl.org/dc/elements/1.1/"/>
    <ds:schemaRef ds:uri="http://www.w3.org/XML/1998/namespace"/>
    <ds:schemaRef ds:uri="a531e4ff-993d-4b2f-a007-a4870e63bb01"/>
    <ds:schemaRef ds:uri="http://schemas.microsoft.com/office/2006/metadata/properties"/>
    <ds:schemaRef ds:uri="http://schemas.openxmlformats.org/package/2006/metadata/core-properties"/>
  </ds:schemaRefs>
</ds:datastoreItem>
</file>

<file path=customXml/itemProps2.xml><?xml version="1.0" encoding="utf-8"?>
<ds:datastoreItem xmlns:ds="http://schemas.openxmlformats.org/officeDocument/2006/customXml" ds:itemID="{CCFBDEA0-F58E-4DF5-B656-6348B947A917}">
  <ds:schemaRefs>
    <ds:schemaRef ds:uri="http://schemas.microsoft.com/DataMashup"/>
  </ds:schemaRefs>
</ds:datastoreItem>
</file>

<file path=customXml/itemProps3.xml><?xml version="1.0" encoding="utf-8"?>
<ds:datastoreItem xmlns:ds="http://schemas.openxmlformats.org/officeDocument/2006/customXml" ds:itemID="{90CE0ADD-8127-41D2-A0A9-2A2DDA3C9F9E}">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a531e4ff-993d-4b2f-a007-a4870e63bb01"/>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4.xml><?xml version="1.0" encoding="utf-8"?>
<ds:datastoreItem xmlns:ds="http://schemas.openxmlformats.org/officeDocument/2006/customXml" ds:itemID="{8033AD08-7926-4D9E-AE12-10FAE5994C09}">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14</vt:i4>
      </vt:variant>
    </vt:vector>
  </HeadingPairs>
  <TitlesOfParts>
    <vt:vector size="14" baseType="lpstr">
      <vt:lpstr>Dashboard Final</vt:lpstr>
      <vt:lpstr>Hechos_Transacciones</vt:lpstr>
      <vt:lpstr>Dashboard</vt:lpstr>
      <vt:lpstr>Clientes</vt:lpstr>
      <vt:lpstr>Productos</vt:lpstr>
      <vt:lpstr>Calculos</vt:lpstr>
      <vt:lpstr>Previsión</vt:lpstr>
      <vt:lpstr>Buscador</vt:lpstr>
      <vt:lpstr>Justificación</vt:lpstr>
      <vt:lpstr>Reporte_Insights</vt:lpstr>
      <vt:lpstr>Matriz_Ventas</vt:lpstr>
      <vt:lpstr>Vencimientos</vt:lpstr>
      <vt:lpstr>Auditoria</vt:lpstr>
      <vt:lpstr>Refactor_LET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Jhon Camilo Prieto</cp:lastModifiedBy>
  <dcterms:created xsi:type="dcterms:W3CDTF">2026-05-27T11:36:28Z</dcterms:created>
  <dcterms:modified xsi:type="dcterms:W3CDTF">2026-09-19T05:52:21Z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0x01010064CD673EA9F06B4083D780730290AF6C</vt:lpwstr>
  </property>
</Properties>
</file>